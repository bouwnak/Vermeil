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S" sheetId="1" r:id="rId5"/>
    <sheet state="visible" name="HYBRID W1" sheetId="2" r:id="rId6"/>
  </sheets>
  <definedNames/>
  <calcPr/>
</workbook>
</file>

<file path=xl/sharedStrings.xml><?xml version="1.0" encoding="utf-8"?>
<sst xmlns="http://schemas.openxmlformats.org/spreadsheetml/2006/main" count="542" uniqueCount="218">
  <si>
    <t>STATISTICS</t>
  </si>
  <si>
    <t>Weight</t>
  </si>
  <si>
    <t>FITNESS PROFILE</t>
  </si>
  <si>
    <t>Biceps Right</t>
  </si>
  <si>
    <t>Biceps Left</t>
  </si>
  <si>
    <t>Thigh Right</t>
  </si>
  <si>
    <t>Thigh Left</t>
  </si>
  <si>
    <t>Chest</t>
  </si>
  <si>
    <t>Waist</t>
  </si>
  <si>
    <t>Week 1</t>
  </si>
  <si>
    <t>87.20 kg</t>
  </si>
  <si>
    <t xml:space="preserve">34.5 cm </t>
  </si>
  <si>
    <t>34 cm</t>
  </si>
  <si>
    <t>59.5 cm</t>
  </si>
  <si>
    <t>Week 2</t>
  </si>
  <si>
    <t>88.5 kg</t>
  </si>
  <si>
    <t>35.5 cm</t>
  </si>
  <si>
    <t>60 cm</t>
  </si>
  <si>
    <t>105.5 cm</t>
  </si>
  <si>
    <t>93.5 cm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</si>
  <si>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</si>
  <si>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</si>
  <si>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</si>
  <si>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</si>
  <si>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</si>
  <si>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</si>
  <si>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</si>
  <si>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</si>
  <si>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</si>
  <si>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</si>
  <si>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CUTTING</t>
  </si>
  <si>
    <t>NAME:</t>
  </si>
  <si>
    <t>Jecho Pantonal</t>
  </si>
  <si>
    <t>Calorie Maintenance:</t>
  </si>
  <si>
    <t>kcal</t>
  </si>
  <si>
    <t>Ideal Calorie Intake:</t>
  </si>
  <si>
    <t>AGE:</t>
  </si>
  <si>
    <t>yrs</t>
  </si>
  <si>
    <t>Protein Intake:</t>
  </si>
  <si>
    <t>grams</t>
  </si>
  <si>
    <t>BULKING</t>
  </si>
  <si>
    <t>HEIGHT:</t>
  </si>
  <si>
    <t>foot</t>
  </si>
  <si>
    <t>cm</t>
  </si>
  <si>
    <t>Carbs Intake:</t>
  </si>
  <si>
    <t>WEIGHT:</t>
  </si>
  <si>
    <t>kg</t>
  </si>
  <si>
    <t>lbs</t>
  </si>
  <si>
    <t>Fat Intake:</t>
  </si>
  <si>
    <t>Activity Level:</t>
  </si>
  <si>
    <t>Sedentary</t>
  </si>
  <si>
    <t>(From Sedentary, Moderately Active, Active, and Athlete)</t>
  </si>
  <si>
    <t>Note: 1 g of Protein and Carbs = 4kcal; 1 g of Fat = 9kcal</t>
  </si>
  <si>
    <t>CUTTING PHASE</t>
  </si>
  <si>
    <t>BULKING PHASE</t>
  </si>
  <si>
    <t>Calorie Goal:</t>
  </si>
  <si>
    <t>1st day</t>
  </si>
  <si>
    <t>PUSH</t>
  </si>
  <si>
    <t>2nd day</t>
  </si>
  <si>
    <t>PULL</t>
  </si>
  <si>
    <t>3rd day</t>
  </si>
  <si>
    <t>LEG</t>
  </si>
  <si>
    <t>Working Sets</t>
  </si>
  <si>
    <t>Rest</t>
  </si>
  <si>
    <t>sets</t>
  </si>
  <si>
    <t>completed</t>
  </si>
  <si>
    <t>Reps needed</t>
  </si>
  <si>
    <t>reps done</t>
  </si>
  <si>
    <t>Incline Bench</t>
  </si>
  <si>
    <t>60-90 secs</t>
  </si>
  <si>
    <t>c</t>
  </si>
  <si>
    <t>https://www.youtube.com/shorts/98HWfiRonkE</t>
  </si>
  <si>
    <t>Lat Pulldown</t>
  </si>
  <si>
    <t>https://www.youtube.com/shorts/bNmvKpJSWKM</t>
  </si>
  <si>
    <t>Deep Squats (Barbell)</t>
  </si>
  <si>
    <t>https://www.youtube.com/shorts/PPmvh7gBTi0</t>
  </si>
  <si>
    <t>4t, 2b - 4bench</t>
  </si>
  <si>
    <t>Wide grip for lat activation</t>
  </si>
  <si>
    <t>Go Below Parallel</t>
  </si>
  <si>
    <t>Controlled Negatives</t>
  </si>
  <si>
    <t xml:space="preserve">7t, 2b </t>
  </si>
  <si>
    <t>UP NT</t>
  </si>
  <si>
    <t>Low to High SA Chest Fly (Cable)</t>
  </si>
  <si>
    <t>https://www.youtube.com/shorts/u5X5x1fw_SA</t>
  </si>
  <si>
    <t>Single Arm Cable Row (45 deg)</t>
  </si>
  <si>
    <t>https://www.tiktok.com/@hazzytrainer/video/7257708741221485829</t>
  </si>
  <si>
    <t>Focus on stretch and squeeze</t>
  </si>
  <si>
    <t>Full stretch and Contraction</t>
  </si>
  <si>
    <t>Standard Split Squats</t>
  </si>
  <si>
    <t>10 ea h</t>
  </si>
  <si>
    <t>https://www.youtube.com/shorts/uBSoEWZu07k</t>
  </si>
  <si>
    <t>Balance and control</t>
  </si>
  <si>
    <t>Single arm fly</t>
  </si>
  <si>
    <t>https://www.youtube.com/shorts/y4RJDSOBEl8</t>
  </si>
  <si>
    <t>Cable Row</t>
  </si>
  <si>
    <t>https://www.youtube.com/shorts/qD1WZ5pSuvk</t>
  </si>
  <si>
    <t>Full range, slow tempo</t>
  </si>
  <si>
    <t>ALT</t>
  </si>
  <si>
    <t>Neutral Grip for mid-back</t>
  </si>
  <si>
    <t>Romanian Deadlifts Seated</t>
  </si>
  <si>
    <t>https://www.youtube.com/shorts/mYROrXBWfKA</t>
  </si>
  <si>
    <t>Stretch hamstrings and glutes</t>
  </si>
  <si>
    <t>Shoulder Press Barbell</t>
  </si>
  <si>
    <t>https://www.youtube.com/shorts/-QqSIOAofTw</t>
  </si>
  <si>
    <t>Lat Pushdown (Cable)</t>
  </si>
  <si>
    <t>https://www.youtube.com/shorts/zokTHF8a9Z8</t>
  </si>
  <si>
    <t>Control and Depth</t>
  </si>
  <si>
    <t>https://www.youtube.com/shorts/k6tzKisR3NY</t>
  </si>
  <si>
    <t>Controlled Tempo</t>
  </si>
  <si>
    <t>Calf Raises</t>
  </si>
  <si>
    <t>https://www.youtube.com/shorts/baEXLy09Ncc</t>
  </si>
  <si>
    <t>7t, 2b - 7bench</t>
  </si>
  <si>
    <t>Pause at the bottom</t>
  </si>
  <si>
    <t>Lateral Raises (Cable)</t>
  </si>
  <si>
    <t>https://www.youtube.com/shorts/f_OGBg2KxgY</t>
  </si>
  <si>
    <t>Rear Delt Fly (Cable)</t>
  </si>
  <si>
    <t>https://www.youtube.com/shorts/hWrcGjjd9VU</t>
  </si>
  <si>
    <t>Light weight, strict form</t>
  </si>
  <si>
    <t>Focus on rear delt contraction</t>
  </si>
  <si>
    <t>Box Jumps</t>
  </si>
  <si>
    <t>https://www.youtube.com/shorts/HJZh-12p6vg</t>
  </si>
  <si>
    <t>Focus on explosive power</t>
  </si>
  <si>
    <t>https://www.youtube.com/shorts/bXgFx93CGow</t>
  </si>
  <si>
    <t>SA Tricep Extension (Cuffed)</t>
  </si>
  <si>
    <t>https://www.tiktok.com/@davis.diley/video/7526940038479760654</t>
  </si>
  <si>
    <t>Bayesian Curls (Cable)</t>
  </si>
  <si>
    <t>https://www.youtube.com/shorts/_Z8Afknw_Fc</t>
  </si>
  <si>
    <t>Isolate triceps</t>
  </si>
  <si>
    <t>Controlled, no swinging</t>
  </si>
  <si>
    <t>Plank Variations</t>
  </si>
  <si>
    <t>Normal</t>
  </si>
  <si>
    <t>1min 10 secs</t>
  </si>
  <si>
    <t>https://www.youtube.com/shorts/xe2MXatLTUw</t>
  </si>
  <si>
    <t>Add side planks and holds</t>
  </si>
  <si>
    <t>Left Side</t>
  </si>
  <si>
    <t>https://www.youtube.com/shorts/moi04TFlj8M</t>
  </si>
  <si>
    <t>Tricep Dips</t>
  </si>
  <si>
    <t>Barbell Curl (Cable)</t>
  </si>
  <si>
    <t>Right side</t>
  </si>
  <si>
    <t>Focus on tricep lockout</t>
  </si>
  <si>
    <t>Slight pause at the top</t>
  </si>
  <si>
    <t>(Tricep Push down muna) bago dips</t>
  </si>
  <si>
    <t>4th day</t>
  </si>
  <si>
    <t>Mobility and Core</t>
  </si>
  <si>
    <t>5th day</t>
  </si>
  <si>
    <t>Push</t>
  </si>
  <si>
    <t>6th day</t>
  </si>
  <si>
    <t>Pull (Cali and strength)</t>
  </si>
  <si>
    <t>Handstand Hold (against wall)</t>
  </si>
  <si>
    <t>30 sec</t>
  </si>
  <si>
    <t>40s</t>
  </si>
  <si>
    <t>Weighted Chin-Ups</t>
  </si>
  <si>
    <t>Build Shoulder Stability</t>
  </si>
  <si>
    <t>30s</t>
  </si>
  <si>
    <t>Next: WALL HS</t>
  </si>
  <si>
    <t>Progressive Overload</t>
  </si>
  <si>
    <t>(Wall plank)</t>
  </si>
  <si>
    <t>https://www.reddit.com/r/bodyweightfitness/wiki/exercises/handstand/</t>
  </si>
  <si>
    <t>(Chin ups on machine)</t>
  </si>
  <si>
    <t>Progression</t>
  </si>
  <si>
    <t>L-Sit Hold (Parallel Bars)</t>
  </si>
  <si>
    <t>20-30 secs</t>
  </si>
  <si>
    <t>20 secs</t>
  </si>
  <si>
    <t>https://www.reddit.com/r/bodyweightfitness/wiki/exercises/l-sit/</t>
  </si>
  <si>
    <t>Engage abs and arms</t>
  </si>
  <si>
    <t>(One-leg Foot supported-floor)</t>
  </si>
  <si>
    <t>Hanging Windshield Wipers</t>
  </si>
  <si>
    <t>(pull bands + rubber handle)</t>
  </si>
  <si>
    <t>Inverted Rows</t>
  </si>
  <si>
    <t>https://www.youtube.com/shorts/rNifNDd7khU</t>
  </si>
  <si>
    <t>Controlled twisting movement</t>
  </si>
  <si>
    <t>Core and Back engagement</t>
  </si>
  <si>
    <t>(Hanging Knee Raise)</t>
  </si>
  <si>
    <t>https://www.youtube.com/shorts/1FjkhpZsaxc</t>
  </si>
  <si>
    <t>(Kung saan nagsimula yung black or 2nd tile from the wall)</t>
  </si>
  <si>
    <t>- straight knee- overhead progression</t>
  </si>
  <si>
    <t>NEXT STEP NT</t>
  </si>
  <si>
    <t>DEEPER NT</t>
  </si>
  <si>
    <t>Dragon Flags</t>
  </si>
  <si>
    <t>https://www.youtube.com/shorts/5xIHT4QspeY</t>
  </si>
  <si>
    <t>Advanced Core Control</t>
  </si>
  <si>
    <t>(Step 2) negatives</t>
  </si>
  <si>
    <t>Pike Push-Ups</t>
  </si>
  <si>
    <t>https://www.youtube.com/shorts/V6BtY3Lt0Ys</t>
  </si>
  <si>
    <t>Shoulder and core focus</t>
  </si>
  <si>
    <t>https://www.youtube.com/shorts/89-8waE2XKI</t>
  </si>
  <si>
    <t>Mobility Drills (hips, shoulders)</t>
  </si>
  <si>
    <t>20 mins</t>
  </si>
  <si>
    <t xml:space="preserve">Mobility drills </t>
  </si>
  <si>
    <t>https://www.youtube.com/shorts/lTe6GFTieP8</t>
  </si>
  <si>
    <t>AMRAP</t>
  </si>
  <si>
    <t>Hammer Curls (Machine)</t>
  </si>
  <si>
    <t>https://www.youtube.com/shorts/lmIo_gVE8T4</t>
  </si>
  <si>
    <t>Yoga poses and deep stretches</t>
  </si>
  <si>
    <t>(as many reps as possible)</t>
  </si>
  <si>
    <t>Adds forearm thickness</t>
  </si>
  <si>
    <t>https://www.youtube.com/shorts/GRd6Wya4iaQ</t>
  </si>
  <si>
    <t>NEGATIVES MUNA</t>
  </si>
  <si>
    <t>Foam Rolling</t>
  </si>
  <si>
    <t>10 mins</t>
  </si>
  <si>
    <t>https://www.youtube.com/shorts/D1QodZXfPGI</t>
  </si>
  <si>
    <t>Superman Holds</t>
  </si>
  <si>
    <t>https://www.youtube.com/shorts/VD6ma6oe4ZA</t>
  </si>
  <si>
    <t>Focus on Recovery</t>
  </si>
  <si>
    <t>Lower back strength</t>
  </si>
  <si>
    <t>7th day</t>
  </si>
  <si>
    <t>Cardio and Recovery</t>
  </si>
  <si>
    <t xml:space="preserve">Steady- State Cardio </t>
  </si>
  <si>
    <t>15-20 mins</t>
  </si>
  <si>
    <t>Incline walk, bike, stair master</t>
  </si>
  <si>
    <t>HIIT (High Inensity Interval Training)</t>
  </si>
  <si>
    <t>10-15 mins</t>
  </si>
  <si>
    <t>30 Sec sprint/ 60 sec rest</t>
  </si>
  <si>
    <t>Active Recovery</t>
  </si>
  <si>
    <t>20-30 mins</t>
  </si>
  <si>
    <t>Walking , light jog, yoga</t>
  </si>
  <si>
    <t>SETTING UP RINGS</t>
  </si>
  <si>
    <t>https://www.youtube.com/watch?v=E4fNqT8JP54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</si>
</sst>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7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  <scheme val="minor"/>
    </font>
    <font>
      <b/>
      <sz val="22.0"/>
      <color theme="1"/>
      <name val="Abadi"/>
    </font>
    <font/>
    <font>
      <b/>
      <color theme="1"/>
      <name val="Arial"/>
      <scheme val="minor"/>
    </font>
    <font>
      <sz val="14.0"/>
      <color theme="1"/>
      <name val="Teko"/>
    </font>
    <font>
      <b/>
      <sz val="14.0"/>
      <color theme="1"/>
      <name val="Teko"/>
    </font>
    <font>
      <sz val="11.0"/>
      <color theme="1"/>
      <name val="Arial"/>
    </font>
    <font>
      <sz val="11.0"/>
      <color rgb="FFFF0000"/>
      <name val="Arial"/>
    </font>
    <font>
      <sz val="11.0"/>
      <color rgb="FF00FF00"/>
      <name val="Arial"/>
    </font>
    <font>
      <b/>
      <sz val="11.0"/>
      <color theme="1"/>
      <name val="Arial"/>
    </font>
    <font>
      <sz val="11.0"/>
      <color rgb="FF1F1F1F"/>
      <name val="Arial"/>
    </font>
    <font>
      <u/>
      <sz val="11.0"/>
      <color rgb="FF0000FF"/>
      <name val="Arial"/>
    </font>
    <font>
      <sz val="11.0"/>
      <color rgb="FF00FF00"/>
      <name val="Aptos Narrow"/>
    </font>
    <font>
      <u/>
      <sz val="11.0"/>
      <color rgb="FF0000FF"/>
      <name val="Aptos Narrow"/>
    </font>
    <font>
      <sz val="11.0"/>
      <color rgb="FF000000"/>
      <name val="Arial"/>
    </font>
    <font>
      <sz val="11.0"/>
      <color rgb="FF000000"/>
      <name val="Aptos Narrow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ptos Narrow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b/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3" fillId="0" fontId="4" numFmtId="0" xfId="0" applyBorder="1" applyFont="1"/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3" fontId="8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3" fontId="9" numFmtId="0" xfId="0" applyAlignment="1" applyFill="1" applyFont="1">
      <alignment horizontal="center" vertical="bottom"/>
    </xf>
    <xf borderId="0" fillId="3" fontId="8" numFmtId="0" xfId="0" applyAlignment="1" applyFill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3" fontId="11" numFmtId="0" xfId="0" applyAlignment="1" applyFill="1" applyFont="1">
      <alignment horizontal="left" readingOrder="0" vertical="bottom"/>
    </xf>
    <xf borderId="0" fillId="3" fontId="8" numFmtId="164" xfId="0" applyAlignment="1" applyFill="1" applyFont="1" applyNumberFormat="1">
      <alignment horizontal="center" readingOrder="0" vertical="bottom"/>
    </xf>
    <xf borderId="0" fillId="3" fontId="12" numFmtId="0" xfId="0" applyAlignment="1" applyFill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3" fontId="15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left" readingOrder="0" vertical="bottom"/>
    </xf>
    <xf borderId="0" fillId="0" fontId="16" numFmtId="0" xfId="0" applyAlignment="1" applyFont="1">
      <alignment readingOrder="0" vertical="bottom"/>
    </xf>
    <xf borderId="0" fillId="3" fontId="8" numFmtId="0" xfId="0" applyAlignment="1" applyFill="1" applyFont="1">
      <alignment horizontal="left" readingOrder="0" vertical="bottom"/>
    </xf>
    <xf borderId="0" fillId="3" fontId="1" numFmtId="0" xfId="0" applyAlignment="1" applyFill="1" applyFont="1">
      <alignment horizontal="center" vertical="bottom"/>
    </xf>
    <xf borderId="0" fillId="3" fontId="8" numFmtId="0" xfId="0" applyAlignment="1" applyFill="1" applyFont="1">
      <alignment horizontal="center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3" fontId="19" numFmtId="0" xfId="0" applyAlignment="1" applyFill="1" applyFont="1">
      <alignment horizontal="center" readingOrder="0" vertical="bottom"/>
    </xf>
    <xf borderId="0" fillId="0" fontId="20" numFmtId="0" xfId="0" applyAlignment="1" applyFont="1">
      <alignment readingOrder="0" vertical="bottom"/>
    </xf>
    <xf borderId="0" fillId="3" fontId="1" numFmtId="0" xfId="0" applyAlignment="1" applyFill="1" applyFont="1">
      <alignment horizontal="left" vertical="bottom"/>
    </xf>
    <xf borderId="0" fillId="0" fontId="9" numFmtId="0" xfId="0" applyAlignment="1" applyFont="1">
      <alignment horizontal="center" vertical="bottom"/>
    </xf>
    <xf borderId="0" fillId="3" fontId="8" numFmtId="0" xfId="0" applyAlignment="1" applyFill="1" applyFont="1">
      <alignment horizontal="left" vertical="bottom"/>
    </xf>
    <xf borderId="0" fillId="0" fontId="1" numFmtId="0" xfId="0" applyAlignment="1" applyFont="1">
      <alignment readingOrder="0" vertical="bottom"/>
    </xf>
    <xf borderId="0" fillId="3" fontId="21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22" numFmtId="0" xfId="0" applyAlignment="1" applyFont="1">
      <alignment horizontal="left" readingOrder="0" vertical="bottom"/>
    </xf>
    <xf borderId="0" fillId="0" fontId="23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left" readingOrder="0"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left" readingOrder="0" vertical="bottom"/>
    </xf>
    <xf borderId="0" fillId="0" fontId="24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0" fontId="25" numFmtId="0" xfId="0" applyAlignment="1" applyFont="1">
      <alignment readingOrder="0"/>
    </xf>
    <xf borderId="0" fillId="0" fontId="26" numFmtId="0" xfId="0" applyAlignment="1" applyFont="1">
      <alignment horizontal="left"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shorts/xe2MXatLTUw" TargetMode="External"/><Relationship Id="rId22" Type="http://schemas.openxmlformats.org/officeDocument/2006/relationships/hyperlink" Target="https://www.youtube.com/shorts/98HWfiRonkE" TargetMode="External"/><Relationship Id="rId21" Type="http://schemas.openxmlformats.org/officeDocument/2006/relationships/hyperlink" Target="https://www.youtube.com/shorts/moi04TFlj8M" TargetMode="External"/><Relationship Id="rId24" Type="http://schemas.openxmlformats.org/officeDocument/2006/relationships/hyperlink" Target="https://www.reddit.com/r/bodyweightfitness/wiki/exercises/handstand/" TargetMode="External"/><Relationship Id="rId23" Type="http://schemas.openxmlformats.org/officeDocument/2006/relationships/hyperlink" Target="https://www.youtube.com/shorts/bNmvKpJSWKM" TargetMode="External"/><Relationship Id="rId1" Type="http://schemas.openxmlformats.org/officeDocument/2006/relationships/hyperlink" Target="https://www.youtube.com/shorts/98HWfiRonkE" TargetMode="External"/><Relationship Id="rId2" Type="http://schemas.openxmlformats.org/officeDocument/2006/relationships/hyperlink" Target="https://www.youtube.com/shorts/bNmvKpJSWKM" TargetMode="External"/><Relationship Id="rId3" Type="http://schemas.openxmlformats.org/officeDocument/2006/relationships/hyperlink" Target="https://www.youtube.com/shorts/PPmvh7gBTi0" TargetMode="External"/><Relationship Id="rId4" Type="http://schemas.openxmlformats.org/officeDocument/2006/relationships/hyperlink" Target="https://www.youtube.com/shorts/u5X5x1fw_SA" TargetMode="External"/><Relationship Id="rId9" Type="http://schemas.openxmlformats.org/officeDocument/2006/relationships/hyperlink" Target="https://www.youtube.com/shorts/mYROrXBWfKA" TargetMode="External"/><Relationship Id="rId26" Type="http://schemas.openxmlformats.org/officeDocument/2006/relationships/hyperlink" Target="https://www.youtube.com/shorts/k6tzKisR3NY" TargetMode="External"/><Relationship Id="rId25" Type="http://schemas.openxmlformats.org/officeDocument/2006/relationships/hyperlink" Target="https://www.reddit.com/r/bodyweightfitness/wiki/exercises/l-sit/" TargetMode="External"/><Relationship Id="rId28" Type="http://schemas.openxmlformats.org/officeDocument/2006/relationships/hyperlink" Target="https://www.youtube.com/shorts/rNifNDd7khU" TargetMode="External"/><Relationship Id="rId27" Type="http://schemas.openxmlformats.org/officeDocument/2006/relationships/hyperlink" Target="https://www.youtube.com/shorts/mYROrXBWfKA" TargetMode="External"/><Relationship Id="rId5" Type="http://schemas.openxmlformats.org/officeDocument/2006/relationships/hyperlink" Target="https://www.tiktok.com/@hazzytrainer/video/7257708741221485829" TargetMode="External"/><Relationship Id="rId6" Type="http://schemas.openxmlformats.org/officeDocument/2006/relationships/hyperlink" Target="https://www.youtube.com/shorts/uBSoEWZu07k" TargetMode="External"/><Relationship Id="rId29" Type="http://schemas.openxmlformats.org/officeDocument/2006/relationships/hyperlink" Target="https://www.youtube.com/shorts/1FjkhpZsaxc" TargetMode="External"/><Relationship Id="rId7" Type="http://schemas.openxmlformats.org/officeDocument/2006/relationships/hyperlink" Target="https://www.youtube.com/shorts/y4RJDSOBEl8" TargetMode="External"/><Relationship Id="rId8" Type="http://schemas.openxmlformats.org/officeDocument/2006/relationships/hyperlink" Target="https://www.youtube.com/shorts/qD1WZ5pSuvk" TargetMode="External"/><Relationship Id="rId31" Type="http://schemas.openxmlformats.org/officeDocument/2006/relationships/hyperlink" Target="https://www.youtube.com/shorts/V6BtY3Lt0Ys" TargetMode="External"/><Relationship Id="rId30" Type="http://schemas.openxmlformats.org/officeDocument/2006/relationships/hyperlink" Target="https://www.youtube.com/shorts/5xIHT4QspeY" TargetMode="External"/><Relationship Id="rId11" Type="http://schemas.openxmlformats.org/officeDocument/2006/relationships/hyperlink" Target="https://www.youtube.com/shorts/zokTHF8a9Z8" TargetMode="External"/><Relationship Id="rId33" Type="http://schemas.openxmlformats.org/officeDocument/2006/relationships/hyperlink" Target="https://www.youtube.com/shorts/lTe6GFTieP8" TargetMode="External"/><Relationship Id="rId10" Type="http://schemas.openxmlformats.org/officeDocument/2006/relationships/hyperlink" Target="https://www.youtube.com/shorts/-QqSIOAofTw" TargetMode="External"/><Relationship Id="rId32" Type="http://schemas.openxmlformats.org/officeDocument/2006/relationships/hyperlink" Target="https://www.youtube.com/shorts/89-8waE2XKI" TargetMode="External"/><Relationship Id="rId13" Type="http://schemas.openxmlformats.org/officeDocument/2006/relationships/hyperlink" Target="https://www.youtube.com/shorts/baEXLy09Ncc" TargetMode="External"/><Relationship Id="rId35" Type="http://schemas.openxmlformats.org/officeDocument/2006/relationships/hyperlink" Target="https://www.youtube.com/shorts/GRd6Wya4iaQ" TargetMode="External"/><Relationship Id="rId12" Type="http://schemas.openxmlformats.org/officeDocument/2006/relationships/hyperlink" Target="https://www.youtube.com/shorts/k6tzKisR3NY" TargetMode="External"/><Relationship Id="rId34" Type="http://schemas.openxmlformats.org/officeDocument/2006/relationships/hyperlink" Target="https://www.youtube.com/shorts/lmIo_gVE8T4" TargetMode="External"/><Relationship Id="rId15" Type="http://schemas.openxmlformats.org/officeDocument/2006/relationships/hyperlink" Target="https://www.youtube.com/shorts/hWrcGjjd9VU" TargetMode="External"/><Relationship Id="rId37" Type="http://schemas.openxmlformats.org/officeDocument/2006/relationships/hyperlink" Target="https://www.youtube.com/shorts/VD6ma6oe4ZA" TargetMode="External"/><Relationship Id="rId14" Type="http://schemas.openxmlformats.org/officeDocument/2006/relationships/hyperlink" Target="https://www.youtube.com/shorts/f_OGBg2KxgY" TargetMode="External"/><Relationship Id="rId36" Type="http://schemas.openxmlformats.org/officeDocument/2006/relationships/hyperlink" Target="https://www.youtube.com/shorts/D1QodZXfPGI" TargetMode="External"/><Relationship Id="rId17" Type="http://schemas.openxmlformats.org/officeDocument/2006/relationships/hyperlink" Target="https://www.youtube.com/shorts/bXgFx93CGow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www.youtube.com/shorts/HJZh-12p6vg" TargetMode="External"/><Relationship Id="rId38" Type="http://schemas.openxmlformats.org/officeDocument/2006/relationships/hyperlink" Target="https://www.youtube.com/watch?v=E4fNqT8JP54" TargetMode="External"/><Relationship Id="rId19" Type="http://schemas.openxmlformats.org/officeDocument/2006/relationships/hyperlink" Target="https://www.youtube.com/shorts/_Z8Afknw_Fc" TargetMode="External"/><Relationship Id="rId18" Type="http://schemas.openxmlformats.org/officeDocument/2006/relationships/hyperlink" Target="https://www.tiktok.com/@davis.diley/video/7526940038479760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2"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13</v>
      </c>
      <c r="G3" s="3"/>
      <c r="H3" s="3"/>
    </row>
    <row r="4">
      <c r="A4" s="2" t="s">
        <v>14</v>
      </c>
      <c r="B4" s="3" t="s">
        <v>15</v>
      </c>
      <c r="C4" s="3" t="s">
        <v>16</v>
      </c>
      <c r="D4" s="3" t="s">
        <v>16</v>
      </c>
      <c r="E4" s="3" t="s">
        <v>17</v>
      </c>
      <c r="F4" s="3" t="s">
        <v>17</v>
      </c>
      <c r="G4" s="3" t="s">
        <v>18</v>
      </c>
      <c r="H4" s="3" t="s">
        <v>19</v>
      </c>
    </row>
    <row r="5">
      <c r="A5" s="2" t="s">
        <v>20</v>
      </c>
      <c r="B5" s="3">
        <v>87.9</v>
      </c>
      <c r="C5" s="3">
        <v>36.0</v>
      </c>
      <c r="D5" s="6">
        <v>36.0</v>
      </c>
      <c r="E5" s="7"/>
      <c r="F5" s="7"/>
      <c r="G5" s="3">
        <v>105.5</v>
      </c>
      <c r="H5" s="3">
        <v>93.0</v>
      </c>
    </row>
    <row r="6">
      <c r="A6" s="2" t="s">
        <v>21</v>
      </c>
      <c r="B6" s="7"/>
      <c r="C6" s="7"/>
      <c r="D6" s="7"/>
      <c r="E6" s="7"/>
      <c r="F6" s="7"/>
      <c r="G6" s="7"/>
      <c r="H6" s="7"/>
    </row>
    <row r="7">
      <c r="A7" s="2" t="s">
        <v>22</v>
      </c>
      <c r="B7" s="7"/>
      <c r="C7" s="7"/>
      <c r="D7" s="7"/>
      <c r="E7" s="7"/>
      <c r="F7" s="7"/>
      <c r="G7" s="7"/>
      <c r="H7" s="7"/>
    </row>
    <row r="8">
      <c r="A8" s="2" t="s">
        <v>23</v>
      </c>
      <c r="B8" s="7"/>
      <c r="C8" s="7"/>
      <c r="D8" s="7"/>
      <c r="E8" s="7"/>
      <c r="F8" s="7"/>
      <c r="G8" s="7"/>
      <c r="H8" s="7"/>
    </row>
    <row r="9">
      <c r="A9" s="2" t="s">
        <v>24</v>
      </c>
      <c r="B9" s="7"/>
      <c r="C9" s="7"/>
      <c r="D9" s="7"/>
      <c r="E9" s="7"/>
      <c r="F9" s="7"/>
      <c r="G9" s="7"/>
      <c r="H9" s="7"/>
    </row>
    <row r="10">
      <c r="A10" s="2" t="s">
        <v>25</v>
      </c>
      <c r="B10" s="7"/>
      <c r="C10" s="7"/>
      <c r="D10" s="7"/>
      <c r="E10" s="7"/>
      <c r="F10" s="7"/>
      <c r="G10" s="7"/>
      <c r="H10" s="7"/>
    </row>
    <row r="11">
      <c r="A11" s="2" t="s">
        <v>26</v>
      </c>
      <c r="B11" s="7"/>
      <c r="C11" s="7"/>
      <c r="D11" s="7"/>
      <c r="E11" s="7"/>
      <c r="F11" s="7"/>
      <c r="G11" s="7"/>
      <c r="H11" s="7"/>
    </row>
    <row r="12">
      <c r="A12" s="2" t="s">
        <v>27</v>
      </c>
      <c r="B12" s="7"/>
      <c r="C12" s="7"/>
      <c r="D12" s="7"/>
      <c r="E12" s="7"/>
      <c r="F12" s="7"/>
      <c r="G12" s="7"/>
      <c r="H12" s="7"/>
    </row>
    <row r="13">
      <c r="A13" s="2" t="s">
        <v>28</v>
      </c>
      <c r="B13" s="7"/>
      <c r="C13" s="7"/>
      <c r="D13" s="7"/>
      <c r="E13" s="7"/>
      <c r="F13" s="7"/>
      <c r="G13" s="7"/>
      <c r="H13" s="7"/>
    </row>
    <row r="14">
      <c r="A14" s="2" t="s">
        <v>29</v>
      </c>
      <c r="B14" s="7"/>
      <c r="C14" s="7"/>
      <c r="D14" s="7"/>
      <c r="E14" s="7"/>
      <c r="F14" s="7"/>
      <c r="G14" s="7"/>
      <c r="H1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7" max="7" width="14.88"/>
    <col customWidth="1" min="10" max="10" width="30.88"/>
    <col customWidth="1" min="11" max="11" width="28.5"/>
    <col customWidth="1" min="18" max="18" width="34.13"/>
  </cols>
  <sheetData>
    <row r="1">
      <c r="A1" s="1"/>
      <c r="B1" s="1"/>
      <c r="C1" s="1"/>
      <c r="D1" s="1"/>
      <c r="E1" s="1"/>
      <c r="F1" s="4" t="s">
        <v>2</v>
      </c>
      <c r="G1" s="5"/>
      <c r="H1" s="5"/>
      <c r="I1" s="5"/>
      <c r="J1" s="5"/>
      <c r="K1" s="5"/>
      <c r="L1" s="5"/>
      <c r="M1" s="5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9" t="s">
        <v>30</v>
      </c>
      <c r="U3" s="1"/>
      <c r="V3" s="1"/>
      <c r="W3" s="1"/>
      <c r="X3" s="1"/>
      <c r="Y3" s="1"/>
      <c r="Z3" s="1"/>
    </row>
    <row r="4">
      <c r="A4" s="10" t="s">
        <v>31</v>
      </c>
      <c r="B4" s="9" t="s">
        <v>32</v>
      </c>
      <c r="H4" s="1"/>
      <c r="I4" s="1"/>
      <c r="J4" s="1"/>
      <c r="K4" s="11" t="s">
        <v>33</v>
      </c>
      <c r="M4" s="9">
        <f>D7*16</f>
        <v>3062.4</v>
      </c>
      <c r="O4" s="10" t="s">
        <v>34</v>
      </c>
      <c r="P4" s="11" t="s">
        <v>35</v>
      </c>
      <c r="S4" s="9">
        <f>M4-200</f>
        <v>2862.4</v>
      </c>
      <c r="U4" s="10" t="s">
        <v>34</v>
      </c>
      <c r="V4" s="1"/>
      <c r="W4" s="1"/>
      <c r="X4" s="1"/>
      <c r="Y4" s="1"/>
      <c r="Z4" s="1"/>
    </row>
    <row r="5">
      <c r="A5" s="10" t="s">
        <v>36</v>
      </c>
      <c r="B5" s="12">
        <v>23.0</v>
      </c>
      <c r="C5" s="10" t="s">
        <v>37</v>
      </c>
      <c r="D5" s="1"/>
      <c r="E5" s="1"/>
      <c r="F5" s="1"/>
      <c r="G5" s="1"/>
      <c r="H5" s="1"/>
      <c r="I5" s="1"/>
      <c r="J5" s="1"/>
      <c r="K5" s="11" t="s">
        <v>38</v>
      </c>
      <c r="M5" s="13">
        <f>D7*0.7</f>
        <v>133.98</v>
      </c>
      <c r="N5" s="10" t="s">
        <v>39</v>
      </c>
      <c r="O5" s="1"/>
      <c r="P5" s="1"/>
      <c r="Q5" s="1"/>
      <c r="R5" s="9" t="s">
        <v>40</v>
      </c>
      <c r="U5" s="1"/>
      <c r="V5" s="1"/>
      <c r="W5" s="1"/>
      <c r="X5" s="1"/>
      <c r="Y5" s="1"/>
      <c r="Z5" s="1"/>
    </row>
    <row r="6">
      <c r="A6" s="10" t="s">
        <v>41</v>
      </c>
      <c r="B6" s="13">
        <v>6.0</v>
      </c>
      <c r="C6" s="10" t="s">
        <v>42</v>
      </c>
      <c r="D6" s="12">
        <v>187.0</v>
      </c>
      <c r="E6" s="10" t="s">
        <v>43</v>
      </c>
      <c r="F6" s="1"/>
      <c r="G6" s="1"/>
      <c r="H6" s="1"/>
      <c r="I6" s="1"/>
      <c r="J6" s="1"/>
      <c r="K6" s="11" t="s">
        <v>44</v>
      </c>
      <c r="M6" s="13">
        <f>(M4-(M5*4+M7*9))/4</f>
        <v>416.295</v>
      </c>
      <c r="N6" s="10" t="s">
        <v>39</v>
      </c>
      <c r="O6" s="1"/>
      <c r="P6" s="11" t="s">
        <v>35</v>
      </c>
      <c r="S6" s="9">
        <f>M4+100</f>
        <v>3162.4</v>
      </c>
      <c r="U6" s="10" t="s">
        <v>34</v>
      </c>
      <c r="V6" s="1"/>
      <c r="W6" s="1"/>
      <c r="X6" s="1"/>
      <c r="Y6" s="1"/>
      <c r="Z6" s="1"/>
    </row>
    <row r="7">
      <c r="A7" s="10" t="s">
        <v>45</v>
      </c>
      <c r="B7" s="12">
        <v>87.0</v>
      </c>
      <c r="C7" s="10" t="s">
        <v>46</v>
      </c>
      <c r="D7" s="13">
        <f>B7*2.2</f>
        <v>191.4</v>
      </c>
      <c r="E7" s="10" t="s">
        <v>47</v>
      </c>
      <c r="F7" s="1"/>
      <c r="G7" s="1"/>
      <c r="H7" s="1"/>
      <c r="I7" s="1"/>
      <c r="J7" s="1"/>
      <c r="K7" s="11" t="s">
        <v>48</v>
      </c>
      <c r="M7" s="13">
        <f>D7*0.5</f>
        <v>95.7</v>
      </c>
      <c r="N7" s="10" t="s">
        <v>39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9" t="s">
        <v>49</v>
      </c>
      <c r="C8" s="9" t="s">
        <v>50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 t="s">
        <v>51</v>
      </c>
      <c r="B9" s="1"/>
      <c r="C9" s="1"/>
      <c r="D9" s="1"/>
      <c r="E9" s="1"/>
      <c r="F9" s="1"/>
      <c r="G9" s="1"/>
      <c r="H9" s="1"/>
      <c r="I9" s="1"/>
      <c r="J9" s="1"/>
      <c r="K9" s="9" t="s">
        <v>52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9" t="s">
        <v>53</v>
      </c>
      <c r="N11" s="1"/>
      <c r="O11" s="1"/>
      <c r="P11" s="1"/>
      <c r="Q11" s="9" t="s">
        <v>54</v>
      </c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1" t="s">
        <v>55</v>
      </c>
      <c r="M12" s="9">
        <f>S4</f>
        <v>2862.4</v>
      </c>
      <c r="O12" s="10" t="s">
        <v>34</v>
      </c>
      <c r="P12" s="1"/>
      <c r="Q12" s="11" t="s">
        <v>55</v>
      </c>
      <c r="S12" s="9">
        <f>S6</f>
        <v>3162.4</v>
      </c>
      <c r="U12" s="10" t="s">
        <v>34</v>
      </c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1" t="s">
        <v>38</v>
      </c>
      <c r="M13" s="13">
        <f>D7*0.9</f>
        <v>172.26</v>
      </c>
      <c r="N13" s="10" t="s">
        <v>39</v>
      </c>
      <c r="O13" s="1"/>
      <c r="P13" s="1"/>
      <c r="Q13" s="11" t="s">
        <v>38</v>
      </c>
      <c r="S13" s="13">
        <f>D7*0.8</f>
        <v>153.12</v>
      </c>
      <c r="T13" s="10" t="s">
        <v>39</v>
      </c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1" t="s">
        <v>44</v>
      </c>
      <c r="M14" s="13">
        <f>(M12-(M13*4+M15*9))/4</f>
        <v>371.08</v>
      </c>
      <c r="N14" s="10" t="s">
        <v>39</v>
      </c>
      <c r="O14" s="1"/>
      <c r="P14" s="1"/>
      <c r="Q14" s="11" t="s">
        <v>44</v>
      </c>
      <c r="S14" s="13">
        <f>(S12-(S13*4+S15*9))/4</f>
        <v>400.6225</v>
      </c>
      <c r="T14" s="10" t="s">
        <v>39</v>
      </c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1" t="s">
        <v>48</v>
      </c>
      <c r="M15" s="13">
        <f>D7*0.4</f>
        <v>76.56</v>
      </c>
      <c r="N15" s="10" t="s">
        <v>39</v>
      </c>
      <c r="O15" s="1"/>
      <c r="P15" s="1"/>
      <c r="Q15" s="11" t="s">
        <v>48</v>
      </c>
      <c r="S15" s="13">
        <f>D7*0.55</f>
        <v>105.27</v>
      </c>
      <c r="T15" s="10" t="s">
        <v>39</v>
      </c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4"/>
      <c r="N20" s="14"/>
      <c r="O20" s="14"/>
      <c r="P20" s="14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5" t="s">
        <v>56</v>
      </c>
      <c r="B22" s="16" t="s">
        <v>57</v>
      </c>
      <c r="C22" s="17"/>
      <c r="D22" s="17"/>
      <c r="E22" s="17"/>
      <c r="F22" s="17"/>
      <c r="G22" s="17"/>
      <c r="H22" s="1"/>
      <c r="I22" s="1"/>
      <c r="J22" s="14" t="s">
        <v>58</v>
      </c>
      <c r="K22" s="18" t="s">
        <v>59</v>
      </c>
      <c r="L22" s="1"/>
      <c r="M22" s="1"/>
      <c r="N22" s="1"/>
      <c r="O22" s="1"/>
      <c r="P22" s="1"/>
      <c r="Q22" s="1"/>
      <c r="R22" s="18" t="s">
        <v>60</v>
      </c>
      <c r="S22" s="18" t="s">
        <v>61</v>
      </c>
      <c r="T22" s="1"/>
      <c r="U22" s="1"/>
      <c r="V22" s="1"/>
      <c r="W22" s="1"/>
      <c r="X22" s="1"/>
      <c r="Y22" s="1"/>
      <c r="Z22" s="1"/>
    </row>
    <row r="23">
      <c r="A23" s="17"/>
      <c r="B23" s="17"/>
      <c r="C23" s="17"/>
      <c r="D23" s="17"/>
      <c r="E23" s="17"/>
      <c r="F23" s="17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9" t="s">
        <v>62</v>
      </c>
      <c r="B24" s="20" t="s">
        <v>63</v>
      </c>
      <c r="C24" s="19" t="s">
        <v>64</v>
      </c>
      <c r="D24" s="20" t="s">
        <v>65</v>
      </c>
      <c r="E24" s="19" t="s">
        <v>46</v>
      </c>
      <c r="F24" s="21" t="s">
        <v>66</v>
      </c>
      <c r="G24" s="19" t="s">
        <v>67</v>
      </c>
      <c r="H24" s="1"/>
      <c r="I24" s="21"/>
      <c r="J24" s="19" t="s">
        <v>62</v>
      </c>
      <c r="K24" s="20" t="s">
        <v>63</v>
      </c>
      <c r="L24" s="19" t="s">
        <v>64</v>
      </c>
      <c r="M24" s="20" t="s">
        <v>65</v>
      </c>
      <c r="N24" s="19" t="s">
        <v>46</v>
      </c>
      <c r="O24" s="21" t="s">
        <v>66</v>
      </c>
      <c r="P24" s="19" t="s">
        <v>67</v>
      </c>
      <c r="Q24" s="19"/>
      <c r="R24" s="19" t="s">
        <v>62</v>
      </c>
      <c r="S24" s="20" t="s">
        <v>63</v>
      </c>
      <c r="T24" s="19" t="s">
        <v>64</v>
      </c>
      <c r="U24" s="20" t="s">
        <v>65</v>
      </c>
      <c r="V24" s="19" t="s">
        <v>46</v>
      </c>
      <c r="W24" s="21" t="s">
        <v>66</v>
      </c>
      <c r="X24" s="19" t="s">
        <v>67</v>
      </c>
      <c r="Y24" s="1"/>
      <c r="Z24" s="1"/>
    </row>
    <row r="25">
      <c r="A25" s="22" t="s">
        <v>68</v>
      </c>
      <c r="B25" s="20" t="s">
        <v>69</v>
      </c>
      <c r="C25" s="20">
        <v>1.0</v>
      </c>
      <c r="D25" s="20" t="s">
        <v>70</v>
      </c>
      <c r="E25" s="20">
        <v>20.0</v>
      </c>
      <c r="F25" s="23">
        <v>46185.0</v>
      </c>
      <c r="G25" s="24">
        <v>12.0</v>
      </c>
      <c r="H25" s="25" t="s">
        <v>71</v>
      </c>
      <c r="I25" s="26"/>
      <c r="J25" s="22" t="s">
        <v>72</v>
      </c>
      <c r="K25" s="20" t="s">
        <v>69</v>
      </c>
      <c r="L25" s="20">
        <v>1.0</v>
      </c>
      <c r="M25" s="20" t="s">
        <v>70</v>
      </c>
      <c r="N25" s="20">
        <v>35.0</v>
      </c>
      <c r="O25" s="23">
        <v>46185.0</v>
      </c>
      <c r="P25" s="20">
        <v>12.0</v>
      </c>
      <c r="Q25" s="27" t="s">
        <v>73</v>
      </c>
      <c r="R25" s="22" t="s">
        <v>74</v>
      </c>
      <c r="S25" s="20" t="s">
        <v>69</v>
      </c>
      <c r="T25" s="20">
        <v>1.0</v>
      </c>
      <c r="U25" s="20" t="s">
        <v>70</v>
      </c>
      <c r="V25" s="20">
        <v>15.0</v>
      </c>
      <c r="W25" s="23">
        <v>46185.0</v>
      </c>
      <c r="X25" s="20">
        <v>12.0</v>
      </c>
      <c r="Y25" s="25" t="s">
        <v>75</v>
      </c>
      <c r="Z25" s="1"/>
    </row>
    <row r="26">
      <c r="A26" s="28" t="s">
        <v>76</v>
      </c>
      <c r="B26" s="20" t="s">
        <v>69</v>
      </c>
      <c r="C26" s="20">
        <v>2.0</v>
      </c>
      <c r="D26" s="20" t="s">
        <v>70</v>
      </c>
      <c r="E26" s="20">
        <v>20.0</v>
      </c>
      <c r="F26" s="23">
        <v>46185.0</v>
      </c>
      <c r="G26" s="20">
        <v>11.0</v>
      </c>
      <c r="H26" s="18"/>
      <c r="I26" s="29"/>
      <c r="J26" s="30" t="s">
        <v>77</v>
      </c>
      <c r="K26" s="20" t="s">
        <v>69</v>
      </c>
      <c r="L26" s="20">
        <v>2.0</v>
      </c>
      <c r="M26" s="20" t="s">
        <v>70</v>
      </c>
      <c r="N26" s="20">
        <v>35.0</v>
      </c>
      <c r="O26" s="23">
        <v>46185.0</v>
      </c>
      <c r="P26" s="20">
        <v>12.0</v>
      </c>
      <c r="Q26" s="20"/>
      <c r="R26" s="30" t="s">
        <v>78</v>
      </c>
      <c r="S26" s="20" t="s">
        <v>69</v>
      </c>
      <c r="T26" s="20">
        <v>2.0</v>
      </c>
      <c r="U26" s="20" t="s">
        <v>70</v>
      </c>
      <c r="V26" s="20">
        <v>15.0</v>
      </c>
      <c r="W26" s="23">
        <v>46185.0</v>
      </c>
      <c r="X26" s="20">
        <v>12.0</v>
      </c>
      <c r="Y26" s="1"/>
      <c r="Z26" s="1"/>
    </row>
    <row r="27">
      <c r="A27" s="30" t="s">
        <v>79</v>
      </c>
      <c r="B27" s="20" t="s">
        <v>69</v>
      </c>
      <c r="C27" s="20">
        <v>3.0</v>
      </c>
      <c r="D27" s="20" t="s">
        <v>70</v>
      </c>
      <c r="E27" s="20">
        <v>20.0</v>
      </c>
      <c r="F27" s="23">
        <v>46185.0</v>
      </c>
      <c r="G27" s="20">
        <v>10.0</v>
      </c>
      <c r="H27" s="1"/>
      <c r="I27" s="29"/>
      <c r="J27" s="30"/>
      <c r="K27" s="20" t="s">
        <v>69</v>
      </c>
      <c r="L27" s="20">
        <v>3.0</v>
      </c>
      <c r="M27" s="20" t="s">
        <v>70</v>
      </c>
      <c r="N27" s="20">
        <v>35.0</v>
      </c>
      <c r="O27" s="23">
        <v>46185.0</v>
      </c>
      <c r="P27" s="20">
        <v>12.0</v>
      </c>
      <c r="Q27" s="20"/>
      <c r="R27" s="30" t="s">
        <v>80</v>
      </c>
      <c r="S27" s="20" t="s">
        <v>69</v>
      </c>
      <c r="T27" s="20">
        <v>3.0</v>
      </c>
      <c r="U27" s="20" t="s">
        <v>70</v>
      </c>
      <c r="V27" s="20">
        <v>15.0</v>
      </c>
      <c r="W27" s="23">
        <v>46185.0</v>
      </c>
      <c r="X27" s="20">
        <v>12.0</v>
      </c>
      <c r="Y27" s="1"/>
      <c r="Z27" s="1"/>
    </row>
    <row r="28">
      <c r="A28" s="30"/>
      <c r="B28" s="31"/>
      <c r="C28" s="32"/>
      <c r="D28" s="20"/>
      <c r="E28" s="32"/>
      <c r="F28" s="31"/>
      <c r="G28" s="32"/>
      <c r="H28" s="1"/>
      <c r="I28" s="33"/>
      <c r="J28" s="30"/>
      <c r="K28" s="31"/>
      <c r="L28" s="32"/>
      <c r="M28" s="20"/>
      <c r="N28" s="32"/>
      <c r="O28" s="31"/>
      <c r="P28" s="20" t="s">
        <v>81</v>
      </c>
      <c r="Q28" s="32"/>
      <c r="R28" s="30"/>
      <c r="S28" s="20" t="s">
        <v>69</v>
      </c>
      <c r="T28" s="20">
        <v>4.0</v>
      </c>
      <c r="U28" s="20" t="s">
        <v>70</v>
      </c>
      <c r="V28" s="20">
        <v>15.0</v>
      </c>
      <c r="W28" s="23">
        <v>46185.0</v>
      </c>
      <c r="X28" s="20">
        <v>12.0</v>
      </c>
      <c r="Y28" s="1"/>
      <c r="Z28" s="1"/>
    </row>
    <row r="29">
      <c r="A29" s="22" t="s">
        <v>82</v>
      </c>
      <c r="B29" s="20" t="s">
        <v>69</v>
      </c>
      <c r="C29" s="20">
        <v>1.0</v>
      </c>
      <c r="D29" s="20" t="s">
        <v>70</v>
      </c>
      <c r="E29" s="20">
        <v>10.0</v>
      </c>
      <c r="F29" s="23">
        <v>46185.0</v>
      </c>
      <c r="G29" s="20">
        <v>9.0</v>
      </c>
      <c r="H29" s="34" t="s">
        <v>83</v>
      </c>
      <c r="I29" s="29"/>
      <c r="J29" s="22" t="s">
        <v>84</v>
      </c>
      <c r="K29" s="20" t="s">
        <v>69</v>
      </c>
      <c r="L29" s="20">
        <v>1.0</v>
      </c>
      <c r="M29" s="20" t="s">
        <v>70</v>
      </c>
      <c r="N29" s="20">
        <v>20.0</v>
      </c>
      <c r="O29" s="23">
        <v>46185.0</v>
      </c>
      <c r="P29" s="20">
        <v>12.0</v>
      </c>
      <c r="Q29" s="35" t="s">
        <v>85</v>
      </c>
      <c r="R29" s="22"/>
      <c r="S29" s="20"/>
      <c r="T29" s="20"/>
      <c r="U29" s="20"/>
      <c r="V29" s="20"/>
      <c r="W29" s="23"/>
      <c r="Y29" s="1"/>
      <c r="Z29" s="1"/>
    </row>
    <row r="30">
      <c r="A30" s="30" t="s">
        <v>86</v>
      </c>
      <c r="B30" s="20" t="s">
        <v>69</v>
      </c>
      <c r="C30" s="20">
        <v>2.0</v>
      </c>
      <c r="D30" s="20" t="s">
        <v>70</v>
      </c>
      <c r="E30" s="20">
        <v>10.0</v>
      </c>
      <c r="F30" s="23">
        <v>46185.0</v>
      </c>
      <c r="G30" s="20">
        <v>9.0</v>
      </c>
      <c r="H30" s="1"/>
      <c r="I30" s="29"/>
      <c r="J30" s="30" t="s">
        <v>87</v>
      </c>
      <c r="K30" s="20" t="s">
        <v>69</v>
      </c>
      <c r="L30" s="20">
        <v>2.0</v>
      </c>
      <c r="M30" s="20" t="s">
        <v>70</v>
      </c>
      <c r="N30" s="20">
        <v>20.0</v>
      </c>
      <c r="O30" s="23">
        <v>46185.0</v>
      </c>
      <c r="P30" s="20">
        <v>12.0</v>
      </c>
      <c r="Q30" s="20"/>
      <c r="R30" s="22" t="s">
        <v>88</v>
      </c>
      <c r="S30" s="20" t="s">
        <v>69</v>
      </c>
      <c r="T30" s="20">
        <v>1.0</v>
      </c>
      <c r="U30" s="20" t="s">
        <v>70</v>
      </c>
      <c r="V30" s="20" t="s">
        <v>89</v>
      </c>
      <c r="W30" s="23">
        <v>46185.0</v>
      </c>
      <c r="X30" s="20">
        <v>12.0</v>
      </c>
      <c r="Y30" s="36" t="s">
        <v>90</v>
      </c>
      <c r="Z30" s="1"/>
    </row>
    <row r="31">
      <c r="A31" s="37"/>
      <c r="B31" s="20" t="s">
        <v>69</v>
      </c>
      <c r="C31" s="20">
        <v>3.0</v>
      </c>
      <c r="D31" s="20" t="s">
        <v>70</v>
      </c>
      <c r="F31" s="23">
        <v>46185.0</v>
      </c>
      <c r="G31" s="20">
        <v>9.0</v>
      </c>
      <c r="H31" s="1"/>
      <c r="I31" s="33"/>
      <c r="J31" s="37"/>
      <c r="K31" s="20" t="s">
        <v>69</v>
      </c>
      <c r="L31" s="20">
        <v>3.0</v>
      </c>
      <c r="M31" s="20" t="s">
        <v>70</v>
      </c>
      <c r="N31" s="20">
        <v>20.0</v>
      </c>
      <c r="O31" s="23">
        <v>46185.0</v>
      </c>
      <c r="P31" s="20">
        <v>12.0</v>
      </c>
      <c r="Q31" s="32"/>
      <c r="R31" s="30" t="s">
        <v>91</v>
      </c>
      <c r="S31" s="20" t="s">
        <v>69</v>
      </c>
      <c r="T31" s="20">
        <v>2.0</v>
      </c>
      <c r="U31" s="20" t="s">
        <v>70</v>
      </c>
      <c r="V31" s="20" t="s">
        <v>89</v>
      </c>
      <c r="W31" s="23">
        <v>46185.0</v>
      </c>
      <c r="X31" s="20">
        <v>12.0</v>
      </c>
      <c r="Y31" s="1"/>
      <c r="Z31" s="1"/>
    </row>
    <row r="32">
      <c r="A32" s="30"/>
      <c r="B32" s="31"/>
      <c r="C32" s="32"/>
      <c r="D32" s="20"/>
      <c r="E32" s="20"/>
      <c r="F32" s="20"/>
      <c r="G32" s="20"/>
      <c r="H32" s="18"/>
      <c r="I32" s="29"/>
      <c r="J32" s="30"/>
      <c r="K32" s="31"/>
      <c r="L32" s="32"/>
      <c r="M32" s="20"/>
      <c r="N32" s="20"/>
      <c r="O32" s="20"/>
      <c r="P32" s="20" t="s">
        <v>81</v>
      </c>
      <c r="Q32" s="20"/>
      <c r="R32" s="37"/>
      <c r="S32" s="20" t="s">
        <v>69</v>
      </c>
      <c r="T32" s="20">
        <v>3.0</v>
      </c>
      <c r="U32" s="20" t="s">
        <v>70</v>
      </c>
      <c r="V32" s="20" t="s">
        <v>89</v>
      </c>
      <c r="W32" s="23">
        <v>46185.0</v>
      </c>
      <c r="X32" s="20">
        <v>12.0</v>
      </c>
      <c r="Y32" s="1"/>
      <c r="Z32" s="1"/>
    </row>
    <row r="33">
      <c r="A33" s="22" t="s">
        <v>92</v>
      </c>
      <c r="B33" s="20" t="s">
        <v>69</v>
      </c>
      <c r="C33" s="20">
        <v>1.0</v>
      </c>
      <c r="D33" s="20" t="s">
        <v>70</v>
      </c>
      <c r="E33" s="20">
        <v>17.5</v>
      </c>
      <c r="F33" s="23">
        <v>46185.0</v>
      </c>
      <c r="G33" s="24">
        <v>12.0</v>
      </c>
      <c r="H33" s="36" t="s">
        <v>93</v>
      </c>
      <c r="I33" s="29"/>
      <c r="J33" s="22" t="s">
        <v>94</v>
      </c>
      <c r="K33" s="20" t="s">
        <v>69</v>
      </c>
      <c r="L33" s="20">
        <v>1.0</v>
      </c>
      <c r="M33" s="20" t="s">
        <v>70</v>
      </c>
      <c r="N33" s="20">
        <v>20.0</v>
      </c>
      <c r="O33" s="23">
        <v>46185.0</v>
      </c>
      <c r="P33" s="20">
        <v>12.0</v>
      </c>
      <c r="Q33" s="35" t="s">
        <v>95</v>
      </c>
      <c r="R33" s="30"/>
      <c r="S33" s="31"/>
      <c r="T33" s="32"/>
      <c r="U33" s="20"/>
      <c r="V33" s="20"/>
      <c r="W33" s="20"/>
      <c r="Y33" s="1"/>
      <c r="Z33" s="1"/>
    </row>
    <row r="34">
      <c r="A34" s="30" t="s">
        <v>96</v>
      </c>
      <c r="B34" s="20" t="s">
        <v>69</v>
      </c>
      <c r="C34" s="20">
        <v>2.0</v>
      </c>
      <c r="D34" s="20" t="s">
        <v>70</v>
      </c>
      <c r="E34" s="20">
        <v>17.5</v>
      </c>
      <c r="F34" s="23">
        <v>46185.0</v>
      </c>
      <c r="G34" s="24">
        <v>10.0</v>
      </c>
      <c r="H34" s="1"/>
      <c r="I34" s="29" t="s">
        <v>97</v>
      </c>
      <c r="J34" s="30" t="s">
        <v>98</v>
      </c>
      <c r="K34" s="20" t="s">
        <v>69</v>
      </c>
      <c r="L34" s="20">
        <v>2.0</v>
      </c>
      <c r="M34" s="20" t="s">
        <v>70</v>
      </c>
      <c r="N34" s="20">
        <v>20.0</v>
      </c>
      <c r="O34" s="23">
        <v>46185.0</v>
      </c>
      <c r="P34" s="20">
        <v>12.0</v>
      </c>
      <c r="Q34" s="32"/>
      <c r="R34" s="22" t="s">
        <v>99</v>
      </c>
      <c r="S34" s="20" t="s">
        <v>69</v>
      </c>
      <c r="T34" s="20">
        <v>1.0</v>
      </c>
      <c r="U34" s="20" t="s">
        <v>70</v>
      </c>
      <c r="V34" s="20">
        <v>22.5</v>
      </c>
      <c r="W34" s="23">
        <v>46185.0</v>
      </c>
      <c r="X34" s="20">
        <v>12.0</v>
      </c>
      <c r="Y34" s="36" t="s">
        <v>100</v>
      </c>
      <c r="Z34" s="1"/>
    </row>
    <row r="35">
      <c r="A35" s="30"/>
      <c r="B35" s="20" t="s">
        <v>69</v>
      </c>
      <c r="C35" s="20">
        <v>3.0</v>
      </c>
      <c r="D35" s="20" t="s">
        <v>70</v>
      </c>
      <c r="E35" s="20">
        <v>17.5</v>
      </c>
      <c r="F35" s="23">
        <v>46185.0</v>
      </c>
      <c r="G35" s="20">
        <v>10.0</v>
      </c>
      <c r="H35" s="18"/>
      <c r="I35" s="29"/>
      <c r="J35" s="30"/>
      <c r="K35" s="20" t="s">
        <v>69</v>
      </c>
      <c r="L35" s="20">
        <v>3.0</v>
      </c>
      <c r="M35" s="20" t="s">
        <v>70</v>
      </c>
      <c r="N35" s="20">
        <v>20.0</v>
      </c>
      <c r="O35" s="23">
        <v>46185.0</v>
      </c>
      <c r="P35" s="20">
        <v>12.0</v>
      </c>
      <c r="Q35" s="20"/>
      <c r="R35" s="30" t="s">
        <v>101</v>
      </c>
      <c r="S35" s="20" t="s">
        <v>69</v>
      </c>
      <c r="T35" s="20">
        <v>2.0</v>
      </c>
      <c r="U35" s="20" t="s">
        <v>70</v>
      </c>
      <c r="V35" s="20">
        <v>22.5</v>
      </c>
      <c r="W35" s="23">
        <v>46185.0</v>
      </c>
      <c r="X35" s="20">
        <v>12.0</v>
      </c>
      <c r="Y35" s="38"/>
      <c r="Z35" s="1"/>
    </row>
    <row r="36">
      <c r="A36" s="39"/>
      <c r="B36" s="31"/>
      <c r="C36" s="32"/>
      <c r="D36" s="20"/>
      <c r="E36" s="20"/>
      <c r="F36" s="31"/>
      <c r="G36" s="20"/>
      <c r="H36" s="40"/>
      <c r="I36" s="29"/>
      <c r="J36" s="39"/>
      <c r="K36" s="31"/>
      <c r="L36" s="32"/>
      <c r="M36" s="20"/>
      <c r="N36" s="20"/>
      <c r="O36" s="31"/>
      <c r="P36" s="20" t="s">
        <v>81</v>
      </c>
      <c r="Q36" s="20"/>
      <c r="R36" s="30"/>
      <c r="S36" s="20" t="s">
        <v>69</v>
      </c>
      <c r="T36" s="20">
        <v>3.0</v>
      </c>
      <c r="U36" s="20" t="s">
        <v>70</v>
      </c>
      <c r="V36" s="20">
        <v>22.5</v>
      </c>
      <c r="W36" s="23">
        <v>46185.0</v>
      </c>
      <c r="X36" s="20">
        <v>12.0</v>
      </c>
      <c r="Y36" s="1"/>
      <c r="Z36" s="1"/>
    </row>
    <row r="37">
      <c r="A37" s="22" t="s">
        <v>102</v>
      </c>
      <c r="B37" s="20" t="s">
        <v>69</v>
      </c>
      <c r="C37" s="20">
        <v>1.0</v>
      </c>
      <c r="D37" s="20" t="s">
        <v>70</v>
      </c>
      <c r="E37" s="20">
        <v>2.5</v>
      </c>
      <c r="F37" s="23">
        <v>46185.0</v>
      </c>
      <c r="G37" s="20">
        <v>12.0</v>
      </c>
      <c r="H37" s="36" t="s">
        <v>103</v>
      </c>
      <c r="I37" s="33"/>
      <c r="J37" s="22" t="s">
        <v>104</v>
      </c>
      <c r="K37" s="20" t="s">
        <v>69</v>
      </c>
      <c r="L37" s="20">
        <v>1.0</v>
      </c>
      <c r="M37" s="20" t="s">
        <v>70</v>
      </c>
      <c r="N37" s="20">
        <v>12.5</v>
      </c>
      <c r="O37" s="23">
        <v>46185.0</v>
      </c>
      <c r="P37" s="20">
        <v>12.0</v>
      </c>
      <c r="Q37" s="41" t="s">
        <v>105</v>
      </c>
      <c r="R37" s="39"/>
      <c r="S37" s="31"/>
      <c r="T37" s="32"/>
      <c r="U37" s="20"/>
      <c r="V37" s="20"/>
      <c r="W37" s="31"/>
      <c r="Y37" s="42"/>
      <c r="Z37" s="1"/>
    </row>
    <row r="38">
      <c r="A38" s="30" t="s">
        <v>106</v>
      </c>
      <c r="B38" s="20" t="s">
        <v>69</v>
      </c>
      <c r="C38" s="20">
        <v>2.0</v>
      </c>
      <c r="D38" s="20" t="s">
        <v>70</v>
      </c>
      <c r="E38" s="20">
        <v>2.5</v>
      </c>
      <c r="F38" s="23">
        <v>46185.0</v>
      </c>
      <c r="G38" s="20">
        <v>12.0</v>
      </c>
      <c r="H38" s="43" t="s">
        <v>107</v>
      </c>
      <c r="I38" s="29"/>
      <c r="J38" s="30" t="s">
        <v>108</v>
      </c>
      <c r="K38" s="20" t="s">
        <v>69</v>
      </c>
      <c r="L38" s="20">
        <v>2.0</v>
      </c>
      <c r="M38" s="20" t="s">
        <v>70</v>
      </c>
      <c r="N38" s="20">
        <v>12.5</v>
      </c>
      <c r="O38" s="23">
        <v>46185.0</v>
      </c>
      <c r="P38" s="20">
        <v>12.0</v>
      </c>
      <c r="Q38" s="20"/>
      <c r="R38" s="22" t="s">
        <v>109</v>
      </c>
      <c r="S38" s="20" t="s">
        <v>69</v>
      </c>
      <c r="T38" s="20">
        <v>1.0</v>
      </c>
      <c r="U38" s="20" t="s">
        <v>70</v>
      </c>
      <c r="V38" s="20" t="s">
        <v>89</v>
      </c>
      <c r="W38" s="23">
        <v>46185.0</v>
      </c>
      <c r="X38" s="20">
        <v>12.0</v>
      </c>
      <c r="Y38" s="44" t="s">
        <v>110</v>
      </c>
      <c r="Z38" s="14"/>
    </row>
    <row r="39">
      <c r="A39" s="2" t="s">
        <v>111</v>
      </c>
      <c r="B39" s="20" t="s">
        <v>69</v>
      </c>
      <c r="C39" s="20">
        <v>3.0</v>
      </c>
      <c r="D39" s="20" t="s">
        <v>70</v>
      </c>
      <c r="E39" s="20">
        <v>2.5</v>
      </c>
      <c r="F39" s="23">
        <v>46185.0</v>
      </c>
      <c r="G39" s="20">
        <v>12.0</v>
      </c>
      <c r="H39" s="1"/>
      <c r="I39" s="29"/>
      <c r="J39" s="39"/>
      <c r="K39" s="20" t="s">
        <v>69</v>
      </c>
      <c r="L39" s="20">
        <v>3.0</v>
      </c>
      <c r="M39" s="20" t="s">
        <v>70</v>
      </c>
      <c r="N39" s="20">
        <v>12.5</v>
      </c>
      <c r="O39" s="23">
        <v>46185.0</v>
      </c>
      <c r="P39" s="20">
        <v>12.0</v>
      </c>
      <c r="Q39" s="20"/>
      <c r="R39" s="30" t="s">
        <v>112</v>
      </c>
      <c r="S39" s="20" t="s">
        <v>69</v>
      </c>
      <c r="T39" s="20">
        <v>2.0</v>
      </c>
      <c r="U39" s="20" t="s">
        <v>70</v>
      </c>
      <c r="V39" s="20" t="s">
        <v>89</v>
      </c>
      <c r="W39" s="23">
        <v>46185.0</v>
      </c>
      <c r="X39" s="20">
        <v>12.0</v>
      </c>
      <c r="Y39" s="45"/>
      <c r="Z39" s="14"/>
    </row>
    <row r="40">
      <c r="A40" s="37"/>
      <c r="B40" s="31"/>
      <c r="C40" s="32"/>
      <c r="D40" s="20"/>
      <c r="E40" s="32"/>
      <c r="F40" s="31"/>
      <c r="G40" s="45" t="s">
        <v>81</v>
      </c>
      <c r="H40" s="1"/>
      <c r="I40" s="33"/>
      <c r="J40" s="37"/>
      <c r="K40" s="31"/>
      <c r="L40" s="32"/>
      <c r="M40" s="20"/>
      <c r="N40" s="32"/>
      <c r="O40" s="31"/>
      <c r="P40" s="20" t="s">
        <v>81</v>
      </c>
      <c r="Q40" s="32"/>
      <c r="R40" s="39"/>
      <c r="S40" s="20" t="s">
        <v>69</v>
      </c>
      <c r="T40" s="20">
        <v>3.0</v>
      </c>
      <c r="U40" s="20" t="s">
        <v>70</v>
      </c>
      <c r="V40" s="20" t="s">
        <v>89</v>
      </c>
      <c r="W40" s="23">
        <v>46185.0</v>
      </c>
      <c r="X40" s="20">
        <v>12.0</v>
      </c>
      <c r="Y40" s="1"/>
      <c r="Z40" s="1"/>
    </row>
    <row r="41">
      <c r="A41" s="22" t="s">
        <v>113</v>
      </c>
      <c r="B41" s="20" t="s">
        <v>69</v>
      </c>
      <c r="C41" s="20">
        <v>1.0</v>
      </c>
      <c r="D41" s="20" t="s">
        <v>70</v>
      </c>
      <c r="E41" s="20">
        <v>10.0</v>
      </c>
      <c r="F41" s="23">
        <v>46185.0</v>
      </c>
      <c r="G41" s="20">
        <v>12.0</v>
      </c>
      <c r="H41" s="34" t="s">
        <v>114</v>
      </c>
      <c r="I41" s="29"/>
      <c r="J41" s="22" t="s">
        <v>115</v>
      </c>
      <c r="K41" s="20" t="s">
        <v>69</v>
      </c>
      <c r="L41" s="20">
        <v>1.0</v>
      </c>
      <c r="M41" s="20" t="s">
        <v>70</v>
      </c>
      <c r="N41" s="20">
        <v>10.0</v>
      </c>
      <c r="O41" s="23">
        <v>46185.0</v>
      </c>
      <c r="P41" s="20">
        <v>12.0</v>
      </c>
      <c r="Q41" s="41" t="s">
        <v>116</v>
      </c>
      <c r="R41" s="37"/>
      <c r="S41" s="20" t="s">
        <v>69</v>
      </c>
      <c r="T41" s="20">
        <v>4.0</v>
      </c>
      <c r="U41" s="20"/>
      <c r="V41" s="20" t="s">
        <v>89</v>
      </c>
      <c r="W41" s="23">
        <v>46185.0</v>
      </c>
      <c r="X41" s="20"/>
      <c r="Y41" s="42"/>
      <c r="Z41" s="1"/>
    </row>
    <row r="42">
      <c r="A42" s="30" t="s">
        <v>117</v>
      </c>
      <c r="B42" s="20" t="s">
        <v>69</v>
      </c>
      <c r="C42" s="20">
        <v>2.0</v>
      </c>
      <c r="D42" s="20" t="s">
        <v>70</v>
      </c>
      <c r="E42" s="20">
        <v>10.0</v>
      </c>
      <c r="F42" s="23">
        <v>46185.0</v>
      </c>
      <c r="G42" s="20">
        <v>9.0</v>
      </c>
      <c r="H42" s="1"/>
      <c r="I42" s="29"/>
      <c r="J42" s="30" t="s">
        <v>118</v>
      </c>
      <c r="K42" s="20" t="s">
        <v>69</v>
      </c>
      <c r="L42" s="20">
        <v>2.0</v>
      </c>
      <c r="M42" s="20" t="s">
        <v>70</v>
      </c>
      <c r="N42" s="20">
        <v>10.0</v>
      </c>
      <c r="O42" s="23">
        <v>46185.0</v>
      </c>
      <c r="P42" s="20">
        <v>8.0</v>
      </c>
      <c r="Q42" s="20"/>
      <c r="R42" s="22"/>
      <c r="S42" s="20"/>
      <c r="T42" s="20"/>
      <c r="U42" s="20"/>
      <c r="V42" s="20"/>
      <c r="W42" s="23"/>
      <c r="X42" s="20"/>
      <c r="Y42" s="45"/>
      <c r="Z42" s="18"/>
    </row>
    <row r="43">
      <c r="A43" s="37"/>
      <c r="B43" s="20" t="s">
        <v>69</v>
      </c>
      <c r="C43" s="20">
        <v>3.0</v>
      </c>
      <c r="D43" s="20" t="s">
        <v>70</v>
      </c>
      <c r="E43" s="20">
        <v>10.0</v>
      </c>
      <c r="F43" s="23">
        <v>46185.0</v>
      </c>
      <c r="G43" s="20">
        <v>9.0</v>
      </c>
      <c r="H43" s="1"/>
      <c r="I43" s="1"/>
      <c r="J43" s="37"/>
      <c r="K43" s="20" t="s">
        <v>69</v>
      </c>
      <c r="L43" s="20">
        <v>3.0</v>
      </c>
      <c r="M43" s="20" t="s">
        <v>70</v>
      </c>
      <c r="N43" s="20">
        <v>10.0</v>
      </c>
      <c r="O43" s="23">
        <v>46185.0</v>
      </c>
      <c r="P43" s="20">
        <v>6.0</v>
      </c>
      <c r="Q43" s="32"/>
      <c r="R43" s="22" t="s">
        <v>119</v>
      </c>
      <c r="S43" s="20" t="s">
        <v>69</v>
      </c>
      <c r="T43" s="20">
        <v>1.0</v>
      </c>
      <c r="U43" s="20"/>
      <c r="V43" s="20"/>
      <c r="W43" s="23">
        <v>46185.0</v>
      </c>
      <c r="X43" s="20">
        <v>12.0</v>
      </c>
      <c r="Y43" s="36" t="s">
        <v>120</v>
      </c>
      <c r="Z43" s="1"/>
    </row>
    <row r="44">
      <c r="A44" s="46"/>
      <c r="B44" s="47"/>
      <c r="C44" s="32"/>
      <c r="D44" s="20"/>
      <c r="E44" s="20"/>
      <c r="F44" s="31"/>
      <c r="G44" s="45"/>
      <c r="H44" s="18"/>
      <c r="I44" s="18"/>
      <c r="J44" s="46"/>
      <c r="K44" s="47"/>
      <c r="L44" s="32"/>
      <c r="M44" s="20"/>
      <c r="N44" s="20"/>
      <c r="O44" s="31"/>
      <c r="P44" s="20"/>
      <c r="Q44" s="45"/>
      <c r="R44" s="30" t="s">
        <v>121</v>
      </c>
      <c r="S44" s="20" t="s">
        <v>69</v>
      </c>
      <c r="T44" s="20">
        <v>2.0</v>
      </c>
      <c r="U44" s="20"/>
      <c r="V44" s="20"/>
      <c r="W44" s="23">
        <v>46185.0</v>
      </c>
      <c r="X44" s="45">
        <v>12.0</v>
      </c>
      <c r="Y44" s="44" t="s">
        <v>122</v>
      </c>
      <c r="Z44" s="1"/>
    </row>
    <row r="45">
      <c r="A45" s="48" t="s">
        <v>123</v>
      </c>
      <c r="B45" s="20" t="s">
        <v>69</v>
      </c>
      <c r="C45" s="20">
        <v>1.0</v>
      </c>
      <c r="D45" s="20" t="s">
        <v>70</v>
      </c>
      <c r="E45" s="20">
        <v>10.0</v>
      </c>
      <c r="F45" s="23">
        <v>46185.0</v>
      </c>
      <c r="G45" s="45">
        <v>12.0</v>
      </c>
      <c r="H45" s="36" t="s">
        <v>124</v>
      </c>
      <c r="I45" s="18"/>
      <c r="J45" s="48" t="s">
        <v>125</v>
      </c>
      <c r="K45" s="20" t="s">
        <v>69</v>
      </c>
      <c r="L45" s="20">
        <v>1.0</v>
      </c>
      <c r="M45" s="20" t="s">
        <v>70</v>
      </c>
      <c r="N45" s="20">
        <v>10.0</v>
      </c>
      <c r="O45" s="23">
        <v>46185.0</v>
      </c>
      <c r="P45" s="20">
        <v>12.0</v>
      </c>
      <c r="Q45" s="44" t="s">
        <v>126</v>
      </c>
      <c r="R45" s="37"/>
      <c r="S45" s="20" t="s">
        <v>69</v>
      </c>
      <c r="T45" s="20">
        <v>3.0</v>
      </c>
      <c r="U45" s="20"/>
      <c r="V45" s="20"/>
      <c r="W45" s="23">
        <v>46185.0</v>
      </c>
      <c r="X45" s="45">
        <v>12.0</v>
      </c>
      <c r="Y45" s="42"/>
      <c r="Z45" s="18"/>
    </row>
    <row r="46">
      <c r="A46" s="46" t="s">
        <v>127</v>
      </c>
      <c r="B46" s="20" t="s">
        <v>69</v>
      </c>
      <c r="C46" s="20">
        <v>2.0</v>
      </c>
      <c r="D46" s="45" t="s">
        <v>70</v>
      </c>
      <c r="E46" s="20">
        <v>10.0</v>
      </c>
      <c r="F46" s="23">
        <v>46185.0</v>
      </c>
      <c r="G46" s="45">
        <v>12.0</v>
      </c>
      <c r="H46" s="1"/>
      <c r="I46" s="1"/>
      <c r="J46" s="46" t="s">
        <v>128</v>
      </c>
      <c r="K46" s="20" t="s">
        <v>69</v>
      </c>
      <c r="L46" s="20">
        <v>2.0</v>
      </c>
      <c r="M46" s="20" t="s">
        <v>70</v>
      </c>
      <c r="N46" s="20">
        <v>10.0</v>
      </c>
      <c r="O46" s="23">
        <v>46185.0</v>
      </c>
      <c r="P46" s="20">
        <v>12.0</v>
      </c>
      <c r="Q46" s="42"/>
      <c r="R46" s="46"/>
      <c r="S46" s="47"/>
      <c r="T46" s="32"/>
      <c r="U46" s="20"/>
      <c r="V46" s="20"/>
      <c r="W46" s="31"/>
      <c r="X46" s="42"/>
      <c r="Y46" s="1"/>
      <c r="Z46" s="1"/>
    </row>
    <row r="47">
      <c r="A47" s="46"/>
      <c r="B47" s="20" t="s">
        <v>69</v>
      </c>
      <c r="C47" s="20">
        <v>3.0</v>
      </c>
      <c r="D47" s="45" t="s">
        <v>70</v>
      </c>
      <c r="E47" s="20">
        <v>10.0</v>
      </c>
      <c r="F47" s="23">
        <v>46185.0</v>
      </c>
      <c r="G47" s="45">
        <v>12.0</v>
      </c>
      <c r="H47" s="45"/>
      <c r="I47" s="1"/>
      <c r="J47" s="46"/>
      <c r="K47" s="20" t="s">
        <v>69</v>
      </c>
      <c r="L47" s="20">
        <v>3.0</v>
      </c>
      <c r="M47" s="20" t="s">
        <v>70</v>
      </c>
      <c r="N47" s="20">
        <v>10.0</v>
      </c>
      <c r="O47" s="23">
        <v>46185.0</v>
      </c>
      <c r="P47" s="20">
        <v>12.0</v>
      </c>
      <c r="Q47" s="20"/>
      <c r="R47" s="48" t="s">
        <v>129</v>
      </c>
      <c r="S47" s="20" t="s">
        <v>69</v>
      </c>
      <c r="T47" s="20">
        <v>1.0</v>
      </c>
      <c r="U47" s="20" t="s">
        <v>70</v>
      </c>
      <c r="V47" s="20" t="s">
        <v>130</v>
      </c>
      <c r="W47" s="23">
        <v>46185.0</v>
      </c>
      <c r="X47" s="20" t="s">
        <v>131</v>
      </c>
      <c r="Y47" s="36" t="s">
        <v>132</v>
      </c>
      <c r="Z47" s="1"/>
    </row>
    <row r="48">
      <c r="A48" s="46"/>
      <c r="B48" s="47"/>
      <c r="C48" s="32"/>
      <c r="D48" s="20"/>
      <c r="E48" s="20"/>
      <c r="F48" s="45"/>
      <c r="H48" s="45"/>
      <c r="I48" s="1"/>
      <c r="J48" s="46"/>
      <c r="K48" s="47"/>
      <c r="L48" s="32"/>
      <c r="M48" s="20"/>
      <c r="N48" s="20"/>
      <c r="O48" s="45"/>
      <c r="P48" s="20" t="s">
        <v>81</v>
      </c>
      <c r="Q48" s="20"/>
      <c r="R48" s="46" t="s">
        <v>133</v>
      </c>
      <c r="S48" s="20" t="s">
        <v>69</v>
      </c>
      <c r="T48" s="20">
        <v>2.0</v>
      </c>
      <c r="U48" s="45" t="s">
        <v>70</v>
      </c>
      <c r="V48" s="20" t="s">
        <v>134</v>
      </c>
      <c r="W48" s="23">
        <v>46185.0</v>
      </c>
      <c r="X48" s="20" t="s">
        <v>131</v>
      </c>
      <c r="Y48" s="49" t="s">
        <v>135</v>
      </c>
      <c r="Z48" s="1"/>
    </row>
    <row r="49">
      <c r="A49" s="48" t="s">
        <v>136</v>
      </c>
      <c r="B49" s="20" t="s">
        <v>69</v>
      </c>
      <c r="C49" s="20">
        <v>1.0</v>
      </c>
      <c r="D49" s="20" t="s">
        <v>70</v>
      </c>
      <c r="E49" s="20">
        <v>12.5</v>
      </c>
      <c r="F49" s="23">
        <v>46185.0</v>
      </c>
      <c r="G49" s="20">
        <v>12.0</v>
      </c>
      <c r="H49" s="14"/>
      <c r="I49" s="1"/>
      <c r="J49" s="48" t="s">
        <v>137</v>
      </c>
      <c r="K49" s="20" t="s">
        <v>69</v>
      </c>
      <c r="L49" s="20">
        <v>1.0</v>
      </c>
      <c r="M49" s="20" t="s">
        <v>70</v>
      </c>
      <c r="N49" s="20">
        <v>10.0</v>
      </c>
      <c r="O49" s="23">
        <v>46185.0</v>
      </c>
      <c r="P49" s="20">
        <v>12.0</v>
      </c>
      <c r="Q49" s="42"/>
      <c r="R49" s="46"/>
      <c r="S49" s="20" t="s">
        <v>69</v>
      </c>
      <c r="T49" s="20">
        <v>3.0</v>
      </c>
      <c r="U49" s="20" t="s">
        <v>70</v>
      </c>
      <c r="V49" s="20" t="s">
        <v>138</v>
      </c>
      <c r="W49" s="23">
        <v>46185.0</v>
      </c>
      <c r="X49" s="20" t="s">
        <v>131</v>
      </c>
      <c r="Y49" s="45"/>
      <c r="Z49" s="18"/>
    </row>
    <row r="50">
      <c r="A50" s="46" t="s">
        <v>139</v>
      </c>
      <c r="B50" s="20" t="s">
        <v>69</v>
      </c>
      <c r="C50" s="20">
        <v>2.0</v>
      </c>
      <c r="D50" s="20" t="s">
        <v>70</v>
      </c>
      <c r="E50" s="20">
        <v>12.5</v>
      </c>
      <c r="F50" s="23">
        <v>46185.0</v>
      </c>
      <c r="G50" s="20">
        <v>11.0</v>
      </c>
      <c r="H50" s="18"/>
      <c r="I50" s="1"/>
      <c r="J50" s="46" t="s">
        <v>140</v>
      </c>
      <c r="K50" s="20" t="s">
        <v>69</v>
      </c>
      <c r="L50" s="20">
        <v>2.0</v>
      </c>
      <c r="M50" s="20" t="s">
        <v>70</v>
      </c>
      <c r="N50" s="20">
        <v>10.0</v>
      </c>
      <c r="O50" s="23">
        <v>46185.0</v>
      </c>
      <c r="P50" s="20">
        <v>8.0</v>
      </c>
      <c r="Q50" s="20"/>
      <c r="R50" s="46"/>
      <c r="S50" s="20"/>
      <c r="T50" s="20"/>
      <c r="U50" s="20"/>
      <c r="V50" s="20"/>
      <c r="W50" s="23"/>
      <c r="X50" s="20"/>
      <c r="Y50" s="1"/>
      <c r="Z50" s="1"/>
    </row>
    <row r="51">
      <c r="A51" s="46" t="s">
        <v>141</v>
      </c>
      <c r="B51" s="20" t="s">
        <v>69</v>
      </c>
      <c r="C51" s="20">
        <v>3.0</v>
      </c>
      <c r="D51" s="20" t="s">
        <v>70</v>
      </c>
      <c r="E51" s="20">
        <v>12.5</v>
      </c>
      <c r="F51" s="23">
        <v>46185.0</v>
      </c>
      <c r="G51" s="20">
        <v>11.0</v>
      </c>
      <c r="H51" s="1"/>
      <c r="I51" s="1"/>
      <c r="J51" s="46"/>
      <c r="K51" s="20" t="s">
        <v>69</v>
      </c>
      <c r="L51" s="20">
        <v>3.0</v>
      </c>
      <c r="M51" s="20"/>
      <c r="N51" s="20">
        <v>10.0</v>
      </c>
      <c r="O51" s="23">
        <v>46185.0</v>
      </c>
      <c r="P51" s="20">
        <v>8.0</v>
      </c>
      <c r="Q51" s="20"/>
      <c r="R51" s="46"/>
      <c r="S51" s="20"/>
      <c r="T51" s="20"/>
      <c r="U51" s="20"/>
      <c r="V51" s="20"/>
      <c r="W51" s="23"/>
      <c r="X51" s="20"/>
      <c r="Y51" s="42"/>
      <c r="Z51" s="14"/>
    </row>
    <row r="52">
      <c r="A52" s="37"/>
      <c r="B52" s="31"/>
      <c r="C52" s="32"/>
      <c r="D52" s="20"/>
      <c r="E52" s="32"/>
      <c r="F52" s="31"/>
      <c r="G52" s="45"/>
      <c r="H52" s="1"/>
      <c r="I52" s="21"/>
      <c r="J52" s="1"/>
      <c r="K52" s="1"/>
      <c r="L52" s="1"/>
      <c r="M52" s="1"/>
      <c r="N52" s="1"/>
      <c r="O52" s="1"/>
      <c r="P52" s="20"/>
      <c r="Q52" s="1"/>
      <c r="R52" s="1"/>
      <c r="S52" s="18"/>
      <c r="T52" s="1"/>
      <c r="U52" s="42"/>
      <c r="V52" s="42"/>
      <c r="W52" s="42"/>
      <c r="X52" s="1"/>
      <c r="Y52" s="42"/>
      <c r="Z52" s="18"/>
    </row>
    <row r="53">
      <c r="A53" s="1"/>
      <c r="B53" s="1"/>
      <c r="C53" s="1"/>
      <c r="D53" s="1"/>
      <c r="E53" s="1"/>
      <c r="F53" s="1"/>
      <c r="G53" s="38"/>
      <c r="H53" s="1"/>
      <c r="I53" s="26"/>
      <c r="J53" s="18"/>
      <c r="K53" s="18"/>
      <c r="L53" s="1"/>
      <c r="M53" s="42"/>
      <c r="N53" s="42"/>
      <c r="O53" s="45"/>
      <c r="P53" s="18"/>
      <c r="Q53" s="45"/>
      <c r="R53" s="1"/>
      <c r="S53" s="1"/>
      <c r="T53" s="1"/>
      <c r="U53" s="1"/>
      <c r="V53" s="42"/>
      <c r="W53" s="1"/>
      <c r="X53" s="1"/>
      <c r="Y53" s="1"/>
      <c r="Z53" s="1"/>
    </row>
    <row r="54">
      <c r="A54" s="16" t="s">
        <v>142</v>
      </c>
      <c r="B54" s="16" t="s">
        <v>143</v>
      </c>
      <c r="C54" s="17"/>
      <c r="D54" s="17"/>
      <c r="E54" s="17"/>
      <c r="F54" s="17"/>
      <c r="G54" s="17"/>
      <c r="H54" s="1"/>
      <c r="I54" s="1"/>
      <c r="J54" s="18" t="s">
        <v>144</v>
      </c>
      <c r="K54" s="18" t="s">
        <v>145</v>
      </c>
      <c r="L54" s="1"/>
      <c r="M54" s="1"/>
      <c r="N54" s="1"/>
      <c r="O54" s="1"/>
      <c r="P54" s="1"/>
      <c r="Q54" s="1"/>
      <c r="R54" s="18" t="s">
        <v>146</v>
      </c>
      <c r="S54" s="18" t="s">
        <v>147</v>
      </c>
      <c r="T54" s="1"/>
      <c r="U54" s="1"/>
      <c r="V54" s="1"/>
      <c r="W54" s="1"/>
      <c r="X54" s="1"/>
      <c r="Y54" s="42"/>
      <c r="Z54" s="1"/>
    </row>
    <row r="55">
      <c r="A55" s="17"/>
      <c r="B55" s="17"/>
      <c r="C55" s="17"/>
      <c r="D55" s="17"/>
      <c r="E55" s="17"/>
      <c r="F55" s="17"/>
      <c r="G55" s="1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42"/>
      <c r="Z55" s="18"/>
    </row>
    <row r="56">
      <c r="A56" s="19" t="s">
        <v>62</v>
      </c>
      <c r="B56" s="20" t="s">
        <v>63</v>
      </c>
      <c r="C56" s="19" t="s">
        <v>64</v>
      </c>
      <c r="D56" s="20" t="s">
        <v>65</v>
      </c>
      <c r="E56" s="19" t="s">
        <v>46</v>
      </c>
      <c r="F56" s="21" t="s">
        <v>66</v>
      </c>
      <c r="G56" s="19" t="s">
        <v>67</v>
      </c>
      <c r="H56" s="1"/>
      <c r="I56" s="21"/>
      <c r="J56" s="19" t="s">
        <v>62</v>
      </c>
      <c r="K56" s="20" t="s">
        <v>63</v>
      </c>
      <c r="L56" s="19" t="s">
        <v>64</v>
      </c>
      <c r="M56" s="20" t="s">
        <v>65</v>
      </c>
      <c r="N56" s="19" t="s">
        <v>46</v>
      </c>
      <c r="O56" s="21" t="s">
        <v>66</v>
      </c>
      <c r="P56" s="19" t="s">
        <v>67</v>
      </c>
      <c r="Q56" s="19"/>
      <c r="R56" s="19" t="s">
        <v>62</v>
      </c>
      <c r="S56" s="20" t="s">
        <v>63</v>
      </c>
      <c r="T56" s="19" t="s">
        <v>64</v>
      </c>
      <c r="U56" s="20" t="s">
        <v>65</v>
      </c>
      <c r="V56" s="19" t="s">
        <v>46</v>
      </c>
      <c r="W56" s="21" t="s">
        <v>66</v>
      </c>
      <c r="X56" s="19" t="s">
        <v>67</v>
      </c>
      <c r="Y56" s="40"/>
      <c r="Z56" s="1"/>
    </row>
    <row r="57">
      <c r="A57" s="22" t="s">
        <v>148</v>
      </c>
      <c r="B57" s="20" t="s">
        <v>69</v>
      </c>
      <c r="C57" s="20">
        <v>1.0</v>
      </c>
      <c r="D57" s="20" t="s">
        <v>70</v>
      </c>
      <c r="E57" s="20"/>
      <c r="F57" s="20" t="s">
        <v>149</v>
      </c>
      <c r="G57" s="20" t="s">
        <v>150</v>
      </c>
      <c r="H57" s="50"/>
      <c r="I57" s="26"/>
      <c r="J57" s="22" t="s">
        <v>68</v>
      </c>
      <c r="K57" s="20" t="s">
        <v>69</v>
      </c>
      <c r="L57" s="20">
        <v>1.0</v>
      </c>
      <c r="M57" s="20" t="s">
        <v>70</v>
      </c>
      <c r="N57" s="20">
        <v>20.0</v>
      </c>
      <c r="O57" s="23">
        <v>46185.0</v>
      </c>
      <c r="P57" s="24">
        <v>12.0</v>
      </c>
      <c r="Q57" s="36" t="s">
        <v>71</v>
      </c>
      <c r="R57" s="22" t="s">
        <v>151</v>
      </c>
      <c r="S57" s="20" t="s">
        <v>69</v>
      </c>
      <c r="T57" s="20">
        <v>1.0</v>
      </c>
      <c r="U57" s="20" t="s">
        <v>70</v>
      </c>
      <c r="V57" s="20">
        <v>37.5</v>
      </c>
      <c r="W57" s="23">
        <v>46185.0</v>
      </c>
      <c r="X57" s="20">
        <v>12.0</v>
      </c>
      <c r="Y57" s="27" t="s">
        <v>73</v>
      </c>
      <c r="Z57" s="1"/>
    </row>
    <row r="58">
      <c r="A58" s="30" t="s">
        <v>152</v>
      </c>
      <c r="B58" s="20" t="s">
        <v>69</v>
      </c>
      <c r="C58" s="20">
        <v>2.0</v>
      </c>
      <c r="D58" s="20" t="s">
        <v>70</v>
      </c>
      <c r="E58" s="20"/>
      <c r="F58" s="20" t="s">
        <v>149</v>
      </c>
      <c r="G58" s="20" t="s">
        <v>153</v>
      </c>
      <c r="H58" s="18" t="s">
        <v>154</v>
      </c>
      <c r="I58" s="29"/>
      <c r="J58" s="28" t="s">
        <v>76</v>
      </c>
      <c r="K58" s="20" t="s">
        <v>69</v>
      </c>
      <c r="L58" s="20">
        <v>2.0</v>
      </c>
      <c r="M58" s="20" t="s">
        <v>70</v>
      </c>
      <c r="N58" s="20">
        <v>20.0</v>
      </c>
      <c r="O58" s="23">
        <v>46185.0</v>
      </c>
      <c r="P58" s="20">
        <v>11.0</v>
      </c>
      <c r="Q58" s="20"/>
      <c r="R58" s="30" t="s">
        <v>155</v>
      </c>
      <c r="S58" s="20" t="s">
        <v>69</v>
      </c>
      <c r="T58" s="20">
        <v>2.0</v>
      </c>
      <c r="U58" s="20" t="s">
        <v>70</v>
      </c>
      <c r="V58" s="20">
        <v>37.5</v>
      </c>
      <c r="W58" s="23">
        <v>46185.0</v>
      </c>
      <c r="X58" s="20">
        <v>8.0</v>
      </c>
      <c r="Y58" s="1"/>
      <c r="Z58" s="1"/>
    </row>
    <row r="59">
      <c r="A59" s="30" t="s">
        <v>156</v>
      </c>
      <c r="B59" s="20" t="s">
        <v>69</v>
      </c>
      <c r="C59" s="20">
        <v>3.0</v>
      </c>
      <c r="D59" s="20" t="s">
        <v>70</v>
      </c>
      <c r="E59" s="20"/>
      <c r="F59" s="20" t="s">
        <v>149</v>
      </c>
      <c r="G59" s="20" t="s">
        <v>150</v>
      </c>
      <c r="H59" s="34" t="s">
        <v>157</v>
      </c>
      <c r="I59" s="29"/>
      <c r="J59" s="30" t="s">
        <v>79</v>
      </c>
      <c r="K59" s="20" t="s">
        <v>69</v>
      </c>
      <c r="L59" s="20">
        <v>3.0</v>
      </c>
      <c r="M59" s="20" t="s">
        <v>70</v>
      </c>
      <c r="N59" s="20">
        <v>20.0</v>
      </c>
      <c r="O59" s="23">
        <v>46185.0</v>
      </c>
      <c r="P59" s="20">
        <v>10.0</v>
      </c>
      <c r="Q59" s="20"/>
      <c r="R59" s="30" t="s">
        <v>158</v>
      </c>
      <c r="S59" s="20" t="s">
        <v>69</v>
      </c>
      <c r="T59" s="20">
        <v>3.0</v>
      </c>
      <c r="U59" s="20" t="s">
        <v>70</v>
      </c>
      <c r="V59" s="20">
        <v>37.5</v>
      </c>
      <c r="W59" s="23">
        <v>46185.0</v>
      </c>
      <c r="X59" s="20">
        <v>8.0</v>
      </c>
      <c r="Y59" s="1"/>
      <c r="Z59" s="1"/>
    </row>
    <row r="60">
      <c r="A60" s="30"/>
      <c r="B60" s="20" t="s">
        <v>69</v>
      </c>
      <c r="C60" s="20">
        <v>4.0</v>
      </c>
      <c r="D60" s="20" t="s">
        <v>70</v>
      </c>
      <c r="E60" s="20"/>
      <c r="F60" s="20" t="s">
        <v>149</v>
      </c>
      <c r="G60" s="20" t="s">
        <v>153</v>
      </c>
      <c r="H60" s="18" t="s">
        <v>159</v>
      </c>
      <c r="I60" s="33"/>
      <c r="J60" s="30"/>
      <c r="K60" s="31"/>
      <c r="L60" s="32"/>
      <c r="M60" s="20"/>
      <c r="N60" s="32"/>
      <c r="O60" s="31"/>
      <c r="P60" s="32"/>
      <c r="Q60" s="46"/>
      <c r="R60" s="30"/>
      <c r="S60" s="20" t="s">
        <v>69</v>
      </c>
      <c r="T60" s="20">
        <v>4.0</v>
      </c>
      <c r="U60" s="20" t="s">
        <v>70</v>
      </c>
      <c r="V60" s="20">
        <v>37.5</v>
      </c>
      <c r="W60" s="23">
        <v>46185.0</v>
      </c>
      <c r="X60" s="20">
        <v>8.0</v>
      </c>
      <c r="Y60" s="1"/>
      <c r="Z60" s="1"/>
    </row>
    <row r="61">
      <c r="A61" s="22"/>
      <c r="B61" s="20"/>
      <c r="C61" s="20"/>
      <c r="D61" s="20"/>
      <c r="E61" s="20"/>
      <c r="F61" s="20"/>
      <c r="G61" s="20"/>
      <c r="H61" s="18"/>
      <c r="I61" s="29"/>
      <c r="J61" s="22" t="s">
        <v>102</v>
      </c>
      <c r="K61" s="20" t="s">
        <v>69</v>
      </c>
      <c r="L61" s="20">
        <v>1.0</v>
      </c>
      <c r="M61" s="20" t="s">
        <v>70</v>
      </c>
      <c r="N61" s="20">
        <v>2.5</v>
      </c>
      <c r="O61" s="23">
        <v>46185.0</v>
      </c>
      <c r="P61" s="20">
        <v>12.0</v>
      </c>
      <c r="Q61" s="20"/>
      <c r="R61" s="22"/>
      <c r="S61" s="20"/>
      <c r="T61" s="20"/>
      <c r="U61" s="20"/>
      <c r="V61" s="32"/>
      <c r="W61" s="31"/>
      <c r="X61" s="20"/>
      <c r="Y61" s="1"/>
      <c r="Z61" s="1"/>
    </row>
    <row r="62">
      <c r="A62" s="22" t="s">
        <v>160</v>
      </c>
      <c r="B62" s="20" t="s">
        <v>69</v>
      </c>
      <c r="C62" s="20">
        <v>1.0</v>
      </c>
      <c r="D62" s="20" t="s">
        <v>70</v>
      </c>
      <c r="E62" s="20"/>
      <c r="F62" s="20" t="s">
        <v>161</v>
      </c>
      <c r="G62" s="20" t="s">
        <v>162</v>
      </c>
      <c r="H62" s="25" t="s">
        <v>163</v>
      </c>
      <c r="I62" s="29"/>
      <c r="J62" s="30" t="s">
        <v>106</v>
      </c>
      <c r="K62" s="20" t="s">
        <v>69</v>
      </c>
      <c r="L62" s="20">
        <v>2.0</v>
      </c>
      <c r="M62" s="20" t="s">
        <v>70</v>
      </c>
      <c r="N62" s="20">
        <v>2.5</v>
      </c>
      <c r="O62" s="23">
        <v>46185.0</v>
      </c>
      <c r="P62" s="20">
        <v>12.0</v>
      </c>
      <c r="Q62" s="43" t="s">
        <v>107</v>
      </c>
      <c r="R62" s="22" t="s">
        <v>99</v>
      </c>
      <c r="S62" s="20" t="s">
        <v>69</v>
      </c>
      <c r="T62" s="20">
        <v>1.0</v>
      </c>
      <c r="U62" s="20" t="s">
        <v>70</v>
      </c>
      <c r="V62" s="20">
        <v>25.0</v>
      </c>
      <c r="W62" s="23">
        <v>46185.0</v>
      </c>
      <c r="X62" s="20">
        <v>12.0</v>
      </c>
      <c r="Y62" s="1"/>
      <c r="Z62" s="1"/>
    </row>
    <row r="63">
      <c r="A63" s="30" t="s">
        <v>164</v>
      </c>
      <c r="B63" s="20" t="s">
        <v>69</v>
      </c>
      <c r="C63" s="20">
        <v>2.0</v>
      </c>
      <c r="D63" s="20" t="s">
        <v>70</v>
      </c>
      <c r="E63" s="20"/>
      <c r="F63" s="20" t="s">
        <v>161</v>
      </c>
      <c r="G63" s="20" t="s">
        <v>162</v>
      </c>
      <c r="H63" s="18" t="s">
        <v>159</v>
      </c>
      <c r="I63" s="33"/>
      <c r="J63" s="2" t="s">
        <v>111</v>
      </c>
      <c r="K63" s="20" t="s">
        <v>69</v>
      </c>
      <c r="L63" s="20">
        <v>3.0</v>
      </c>
      <c r="M63" s="20" t="s">
        <v>70</v>
      </c>
      <c r="N63" s="20">
        <v>2.5</v>
      </c>
      <c r="O63" s="23">
        <v>46185.0</v>
      </c>
      <c r="P63" s="20">
        <v>12.0</v>
      </c>
      <c r="Q63" s="32"/>
      <c r="R63" s="30" t="s">
        <v>101</v>
      </c>
      <c r="S63" s="20" t="s">
        <v>69</v>
      </c>
      <c r="T63" s="20">
        <v>2.0</v>
      </c>
      <c r="U63" s="20" t="s">
        <v>70</v>
      </c>
      <c r="V63" s="20">
        <v>25.0</v>
      </c>
      <c r="W63" s="23">
        <v>46185.0</v>
      </c>
      <c r="X63" s="20">
        <v>12.0</v>
      </c>
      <c r="Y63" s="36" t="s">
        <v>100</v>
      </c>
      <c r="Z63" s="1"/>
    </row>
    <row r="64">
      <c r="A64" s="30" t="s">
        <v>165</v>
      </c>
      <c r="B64" s="20" t="s">
        <v>69</v>
      </c>
      <c r="C64" s="20">
        <v>3.0</v>
      </c>
      <c r="D64" s="20" t="s">
        <v>70</v>
      </c>
      <c r="E64" s="20"/>
      <c r="F64" s="20" t="s">
        <v>161</v>
      </c>
      <c r="G64" s="20" t="s">
        <v>162</v>
      </c>
      <c r="H64" s="18"/>
      <c r="I64" s="29"/>
      <c r="J64" s="37"/>
      <c r="K64" s="31"/>
      <c r="L64" s="32"/>
      <c r="M64" s="20"/>
      <c r="N64" s="32"/>
      <c r="O64" s="31"/>
      <c r="P64" s="45" t="s">
        <v>81</v>
      </c>
      <c r="Q64" s="20"/>
      <c r="R64" s="37"/>
      <c r="S64" s="20" t="s">
        <v>69</v>
      </c>
      <c r="T64" s="20">
        <v>3.0</v>
      </c>
      <c r="U64" s="20" t="s">
        <v>70</v>
      </c>
      <c r="V64" s="20">
        <v>25.0</v>
      </c>
      <c r="W64" s="23">
        <v>46185.0</v>
      </c>
      <c r="X64" s="20">
        <v>12.0</v>
      </c>
      <c r="Y64" s="1"/>
      <c r="Z64" s="1"/>
    </row>
    <row r="65">
      <c r="A65" s="30"/>
      <c r="B65" s="20" t="s">
        <v>69</v>
      </c>
      <c r="C65" s="20">
        <v>4.0</v>
      </c>
      <c r="D65" s="20" t="s">
        <v>70</v>
      </c>
      <c r="E65" s="20"/>
      <c r="F65" s="20" t="s">
        <v>161</v>
      </c>
      <c r="G65" s="20" t="s">
        <v>162</v>
      </c>
      <c r="H65" s="1"/>
      <c r="I65" s="29"/>
      <c r="J65" s="22" t="s">
        <v>113</v>
      </c>
      <c r="K65" s="20" t="s">
        <v>69</v>
      </c>
      <c r="L65" s="20">
        <v>1.0</v>
      </c>
      <c r="M65" s="20" t="s">
        <v>70</v>
      </c>
      <c r="N65" s="20">
        <v>10.0</v>
      </c>
      <c r="O65" s="23">
        <v>46185.0</v>
      </c>
      <c r="P65" s="20">
        <v>12.0</v>
      </c>
      <c r="Q65" s="20"/>
      <c r="R65" s="30"/>
      <c r="S65" s="20" t="s">
        <v>69</v>
      </c>
      <c r="T65" s="20">
        <v>4.0</v>
      </c>
      <c r="U65" s="20" t="s">
        <v>70</v>
      </c>
      <c r="V65" s="20">
        <v>25.0</v>
      </c>
      <c r="W65" s="23">
        <v>46185.0</v>
      </c>
      <c r="X65" s="20">
        <v>12.0</v>
      </c>
      <c r="Y65" s="1"/>
      <c r="Z65" s="1"/>
    </row>
    <row r="66">
      <c r="A66" s="22"/>
      <c r="B66" s="20"/>
      <c r="C66" s="20"/>
      <c r="D66" s="20"/>
      <c r="E66" s="20"/>
      <c r="F66" s="23"/>
      <c r="G66" s="32"/>
      <c r="H66" s="1"/>
      <c r="I66" s="29"/>
      <c r="J66" s="30" t="s">
        <v>117</v>
      </c>
      <c r="K66" s="20" t="s">
        <v>69</v>
      </c>
      <c r="L66" s="20">
        <v>2.0</v>
      </c>
      <c r="M66" s="20" t="s">
        <v>70</v>
      </c>
      <c r="N66" s="20">
        <v>10.0</v>
      </c>
      <c r="O66" s="23">
        <v>46185.0</v>
      </c>
      <c r="P66" s="20">
        <v>9.0</v>
      </c>
      <c r="Q66" s="32"/>
      <c r="R66" s="22"/>
      <c r="S66" s="20"/>
      <c r="T66" s="20"/>
      <c r="U66" s="20"/>
      <c r="V66" s="20"/>
      <c r="W66" s="23"/>
      <c r="X66" s="20" t="s">
        <v>81</v>
      </c>
      <c r="Y66" s="1"/>
      <c r="Z66" s="1"/>
    </row>
    <row r="67">
      <c r="A67" s="22" t="s">
        <v>166</v>
      </c>
      <c r="B67" s="20" t="s">
        <v>69</v>
      </c>
      <c r="C67" s="20">
        <v>1.0</v>
      </c>
      <c r="D67" s="20" t="s">
        <v>70</v>
      </c>
      <c r="E67" s="20"/>
      <c r="F67" s="23">
        <v>46185.0</v>
      </c>
      <c r="G67" s="20">
        <v>12.0</v>
      </c>
      <c r="H67" s="18" t="s">
        <v>167</v>
      </c>
      <c r="I67" s="29"/>
      <c r="J67" s="37"/>
      <c r="K67" s="20" t="s">
        <v>69</v>
      </c>
      <c r="L67" s="20">
        <v>3.0</v>
      </c>
      <c r="M67" s="20" t="s">
        <v>70</v>
      </c>
      <c r="N67" s="20">
        <v>10.0</v>
      </c>
      <c r="O67" s="23">
        <v>46185.0</v>
      </c>
      <c r="P67" s="20">
        <v>9.0</v>
      </c>
      <c r="Q67" s="20"/>
      <c r="R67" s="22" t="s">
        <v>168</v>
      </c>
      <c r="S67" s="20" t="s">
        <v>69</v>
      </c>
      <c r="T67" s="20">
        <v>1.0</v>
      </c>
      <c r="U67" s="20" t="s">
        <v>70</v>
      </c>
      <c r="V67" s="20"/>
      <c r="W67" s="23">
        <v>46185.0</v>
      </c>
      <c r="X67" s="20">
        <v>12.0</v>
      </c>
      <c r="Y67" s="36" t="s">
        <v>169</v>
      </c>
      <c r="Z67" s="1"/>
    </row>
    <row r="68">
      <c r="A68" s="30" t="s">
        <v>170</v>
      </c>
      <c r="B68" s="20" t="s">
        <v>69</v>
      </c>
      <c r="C68" s="20">
        <v>2.0</v>
      </c>
      <c r="D68" s="20" t="s">
        <v>70</v>
      </c>
      <c r="E68" s="20"/>
      <c r="F68" s="23">
        <v>46185.0</v>
      </c>
      <c r="G68" s="20">
        <v>12.0</v>
      </c>
      <c r="H68" s="40"/>
      <c r="I68" s="29"/>
      <c r="J68" s="46"/>
      <c r="K68" s="47"/>
      <c r="L68" s="32"/>
      <c r="M68" s="20"/>
      <c r="N68" s="20"/>
      <c r="O68" s="31"/>
      <c r="P68" s="45"/>
      <c r="Q68" s="20"/>
      <c r="R68" s="30" t="s">
        <v>171</v>
      </c>
      <c r="S68" s="20" t="s">
        <v>69</v>
      </c>
      <c r="T68" s="20">
        <v>2.0</v>
      </c>
      <c r="U68" s="20" t="s">
        <v>70</v>
      </c>
      <c r="V68" s="20"/>
      <c r="W68" s="23">
        <v>46185.0</v>
      </c>
      <c r="X68" s="20">
        <v>12.0</v>
      </c>
      <c r="Y68" s="1"/>
      <c r="Z68" s="1"/>
    </row>
    <row r="69">
      <c r="A69" s="30" t="s">
        <v>172</v>
      </c>
      <c r="B69" s="20" t="s">
        <v>69</v>
      </c>
      <c r="C69" s="20">
        <v>3.0</v>
      </c>
      <c r="D69" s="20" t="s">
        <v>70</v>
      </c>
      <c r="E69" s="20"/>
      <c r="F69" s="23">
        <v>46185.0</v>
      </c>
      <c r="G69" s="20">
        <v>12.0</v>
      </c>
      <c r="H69" s="1"/>
      <c r="I69" s="33"/>
      <c r="J69" s="48" t="s">
        <v>136</v>
      </c>
      <c r="K69" s="20" t="s">
        <v>69</v>
      </c>
      <c r="L69" s="20">
        <v>1.0</v>
      </c>
      <c r="M69" s="20" t="s">
        <v>70</v>
      </c>
      <c r="N69" s="20">
        <v>12.5</v>
      </c>
      <c r="O69" s="23">
        <v>46185.0</v>
      </c>
      <c r="P69" s="20">
        <v>12.0</v>
      </c>
      <c r="Q69" s="41" t="s">
        <v>173</v>
      </c>
      <c r="R69" s="30"/>
      <c r="S69" s="20" t="s">
        <v>69</v>
      </c>
      <c r="T69" s="20">
        <v>3.0</v>
      </c>
      <c r="U69" s="20" t="s">
        <v>70</v>
      </c>
      <c r="V69" s="20"/>
      <c r="W69" s="23">
        <v>46185.0</v>
      </c>
      <c r="X69" s="20">
        <v>12.0</v>
      </c>
      <c r="Y69" s="18" t="s">
        <v>174</v>
      </c>
      <c r="Z69" s="1"/>
    </row>
    <row r="70">
      <c r="A70" s="30" t="s">
        <v>175</v>
      </c>
      <c r="B70" s="31"/>
      <c r="C70" s="32"/>
      <c r="D70" s="20"/>
      <c r="E70" s="20"/>
      <c r="F70" s="31"/>
      <c r="G70" s="20" t="s">
        <v>176</v>
      </c>
      <c r="H70" s="46"/>
      <c r="I70" s="29"/>
      <c r="J70" s="46" t="s">
        <v>139</v>
      </c>
      <c r="K70" s="20" t="s">
        <v>69</v>
      </c>
      <c r="L70" s="20">
        <v>2.0</v>
      </c>
      <c r="M70" s="20" t="s">
        <v>70</v>
      </c>
      <c r="N70" s="20">
        <v>12.5</v>
      </c>
      <c r="O70" s="23">
        <v>46185.0</v>
      </c>
      <c r="P70" s="20">
        <v>11.0</v>
      </c>
      <c r="Q70" s="20"/>
      <c r="R70" s="39"/>
      <c r="S70" s="31"/>
      <c r="T70" s="32"/>
      <c r="U70" s="20"/>
      <c r="V70" s="20"/>
      <c r="W70" s="31"/>
      <c r="X70" s="20" t="s">
        <v>177</v>
      </c>
      <c r="Y70" s="1"/>
      <c r="Z70" s="1"/>
    </row>
    <row r="71">
      <c r="A71" s="22" t="s">
        <v>178</v>
      </c>
      <c r="B71" s="20" t="s">
        <v>69</v>
      </c>
      <c r="C71" s="20">
        <v>1.0</v>
      </c>
      <c r="D71" s="20" t="s">
        <v>70</v>
      </c>
      <c r="E71" s="20"/>
      <c r="F71" s="23">
        <v>46185.0</v>
      </c>
      <c r="G71" s="20">
        <v>6.0</v>
      </c>
      <c r="H71" s="36" t="s">
        <v>179</v>
      </c>
      <c r="I71" s="29"/>
      <c r="J71" s="46" t="s">
        <v>141</v>
      </c>
      <c r="K71" s="20" t="s">
        <v>69</v>
      </c>
      <c r="L71" s="20">
        <v>3.0</v>
      </c>
      <c r="M71" s="20" t="s">
        <v>70</v>
      </c>
      <c r="N71" s="20">
        <v>12.5</v>
      </c>
      <c r="O71" s="23">
        <v>46185.0</v>
      </c>
      <c r="P71" s="20">
        <v>11.0</v>
      </c>
      <c r="Q71" s="20"/>
      <c r="R71" s="22" t="s">
        <v>115</v>
      </c>
      <c r="S71" s="20" t="s">
        <v>69</v>
      </c>
      <c r="T71" s="20">
        <v>1.0</v>
      </c>
      <c r="U71" s="20" t="s">
        <v>70</v>
      </c>
      <c r="V71" s="20">
        <v>10.0</v>
      </c>
      <c r="W71" s="23">
        <v>46185.0</v>
      </c>
      <c r="X71" s="20">
        <v>12.0</v>
      </c>
      <c r="Y71" s="1"/>
      <c r="Z71" s="1"/>
    </row>
    <row r="72">
      <c r="A72" s="30" t="s">
        <v>180</v>
      </c>
      <c r="B72" s="20" t="s">
        <v>69</v>
      </c>
      <c r="C72" s="20">
        <v>2.0</v>
      </c>
      <c r="D72" s="20" t="s">
        <v>70</v>
      </c>
      <c r="E72" s="20"/>
      <c r="F72" s="23">
        <v>46185.0</v>
      </c>
      <c r="G72" s="20">
        <v>6.0</v>
      </c>
      <c r="H72" s="1"/>
      <c r="I72" s="33"/>
      <c r="J72" s="37"/>
      <c r="K72" s="31"/>
      <c r="L72" s="32"/>
      <c r="M72" s="20"/>
      <c r="N72" s="32"/>
      <c r="O72" s="31"/>
      <c r="P72" s="20"/>
      <c r="Q72" s="32"/>
      <c r="R72" s="30" t="s">
        <v>118</v>
      </c>
      <c r="S72" s="20" t="s">
        <v>69</v>
      </c>
      <c r="T72" s="20">
        <v>2.0</v>
      </c>
      <c r="U72" s="20" t="s">
        <v>70</v>
      </c>
      <c r="V72" s="20">
        <v>10.0</v>
      </c>
      <c r="W72" s="23">
        <v>46185.0</v>
      </c>
      <c r="X72" s="20">
        <v>12.0</v>
      </c>
      <c r="Y72" s="1"/>
      <c r="Z72" s="1"/>
    </row>
    <row r="73">
      <c r="A73" s="30" t="s">
        <v>181</v>
      </c>
      <c r="B73" s="20" t="s">
        <v>69</v>
      </c>
      <c r="C73" s="20">
        <v>3.0</v>
      </c>
      <c r="D73" s="20"/>
      <c r="E73" s="20"/>
      <c r="F73" s="23">
        <v>46185.0</v>
      </c>
      <c r="G73" s="20"/>
      <c r="H73" s="18"/>
      <c r="I73" s="29"/>
      <c r="J73" s="48" t="s">
        <v>182</v>
      </c>
      <c r="K73" s="20" t="s">
        <v>69</v>
      </c>
      <c r="L73" s="20">
        <v>1.0</v>
      </c>
      <c r="M73" s="20"/>
      <c r="N73" s="20"/>
      <c r="O73" s="23"/>
      <c r="P73" s="20"/>
      <c r="Q73" s="41" t="s">
        <v>183</v>
      </c>
      <c r="R73" s="37"/>
      <c r="S73" s="20" t="s">
        <v>69</v>
      </c>
      <c r="T73" s="20">
        <v>3.0</v>
      </c>
      <c r="U73" s="20" t="s">
        <v>70</v>
      </c>
      <c r="V73" s="20">
        <v>10.0</v>
      </c>
      <c r="W73" s="23">
        <v>46185.0</v>
      </c>
      <c r="X73" s="20">
        <v>12.0</v>
      </c>
    </row>
    <row r="74">
      <c r="A74" s="37"/>
      <c r="B74" s="31"/>
      <c r="C74" s="32"/>
      <c r="D74" s="20"/>
      <c r="E74" s="32"/>
      <c r="F74" s="31"/>
      <c r="G74" s="20"/>
      <c r="H74" s="1"/>
      <c r="I74" s="29"/>
      <c r="J74" s="46" t="s">
        <v>184</v>
      </c>
      <c r="K74" s="20" t="s">
        <v>69</v>
      </c>
      <c r="L74" s="20">
        <v>2.0</v>
      </c>
      <c r="M74" s="45"/>
      <c r="N74" s="45"/>
      <c r="O74" s="23"/>
      <c r="P74" s="41" t="s">
        <v>185</v>
      </c>
      <c r="Q74" s="20"/>
      <c r="R74" s="37"/>
      <c r="S74" s="20"/>
      <c r="T74" s="20"/>
      <c r="U74" s="20"/>
      <c r="V74" s="20"/>
      <c r="W74" s="23"/>
      <c r="X74" s="20" t="s">
        <v>81</v>
      </c>
    </row>
    <row r="75">
      <c r="A75" s="22" t="s">
        <v>186</v>
      </c>
      <c r="B75" s="20" t="s">
        <v>69</v>
      </c>
      <c r="C75" s="20">
        <v>1.0</v>
      </c>
      <c r="D75" s="20"/>
      <c r="E75" s="20"/>
      <c r="F75" s="20" t="s">
        <v>187</v>
      </c>
      <c r="G75" s="20" t="s">
        <v>188</v>
      </c>
      <c r="H75" s="25" t="s">
        <v>189</v>
      </c>
      <c r="I75" s="1"/>
      <c r="J75" s="46" t="s">
        <v>190</v>
      </c>
      <c r="K75" s="20" t="s">
        <v>69</v>
      </c>
      <c r="L75" s="20">
        <v>3.0</v>
      </c>
      <c r="M75" s="20"/>
      <c r="N75" s="20"/>
      <c r="O75" s="23"/>
      <c r="P75" s="32"/>
      <c r="Q75" s="32"/>
      <c r="R75" s="22" t="s">
        <v>191</v>
      </c>
      <c r="S75" s="20" t="s">
        <v>69</v>
      </c>
      <c r="T75" s="20">
        <v>1.0</v>
      </c>
      <c r="U75" s="20" t="s">
        <v>70</v>
      </c>
      <c r="V75" s="20">
        <v>10.0</v>
      </c>
      <c r="W75" s="23">
        <v>46185.0</v>
      </c>
      <c r="X75" s="20">
        <v>12.0</v>
      </c>
      <c r="Y75" s="51" t="s">
        <v>192</v>
      </c>
    </row>
    <row r="76">
      <c r="A76" s="30" t="s">
        <v>193</v>
      </c>
      <c r="B76" s="20" t="s">
        <v>69</v>
      </c>
      <c r="C76" s="20">
        <v>2.0</v>
      </c>
      <c r="D76" s="20"/>
      <c r="E76" s="20"/>
      <c r="F76" s="20" t="s">
        <v>187</v>
      </c>
      <c r="G76" s="45"/>
      <c r="H76" s="18"/>
      <c r="I76" s="18"/>
      <c r="J76" s="46" t="s">
        <v>194</v>
      </c>
      <c r="K76" s="47"/>
      <c r="L76" s="32"/>
      <c r="M76" s="20"/>
      <c r="N76" s="20"/>
      <c r="O76" s="31"/>
      <c r="P76" s="45"/>
      <c r="Q76" s="45"/>
      <c r="R76" s="30" t="s">
        <v>195</v>
      </c>
      <c r="S76" s="20" t="s">
        <v>69</v>
      </c>
      <c r="T76" s="20">
        <v>2.0</v>
      </c>
      <c r="U76" s="20" t="s">
        <v>70</v>
      </c>
      <c r="V76" s="20">
        <v>10.0</v>
      </c>
      <c r="W76" s="23">
        <v>46185.0</v>
      </c>
      <c r="X76" s="45">
        <v>12.0</v>
      </c>
    </row>
    <row r="77">
      <c r="A77" s="37"/>
      <c r="B77" s="20" t="s">
        <v>69</v>
      </c>
      <c r="C77" s="20">
        <v>3.0</v>
      </c>
      <c r="D77" s="20"/>
      <c r="E77" s="20"/>
      <c r="F77" s="20" t="s">
        <v>187</v>
      </c>
      <c r="G77" s="45"/>
      <c r="H77" s="1"/>
      <c r="I77" s="18"/>
      <c r="J77" s="52" t="s">
        <v>196</v>
      </c>
      <c r="K77" s="20"/>
      <c r="L77" s="20"/>
      <c r="M77" s="20"/>
      <c r="N77" s="20"/>
      <c r="O77" s="23"/>
      <c r="P77" s="45"/>
      <c r="Q77" s="45"/>
      <c r="R77" s="37"/>
      <c r="S77" s="20" t="s">
        <v>69</v>
      </c>
      <c r="T77" s="20">
        <v>3.0</v>
      </c>
      <c r="U77" s="20" t="s">
        <v>70</v>
      </c>
      <c r="V77" s="20">
        <v>10.0</v>
      </c>
      <c r="W77" s="23">
        <v>46185.0</v>
      </c>
      <c r="X77" s="45">
        <v>10.0</v>
      </c>
    </row>
    <row r="78">
      <c r="A78" s="46"/>
      <c r="B78" s="47"/>
      <c r="C78" s="32"/>
      <c r="D78" s="20"/>
      <c r="E78" s="20"/>
      <c r="F78" s="20"/>
      <c r="G78" s="42"/>
      <c r="H78" s="1"/>
      <c r="I78" s="1"/>
      <c r="J78" s="46" t="s">
        <v>197</v>
      </c>
      <c r="K78" s="20"/>
      <c r="L78" s="20"/>
      <c r="M78" s="45"/>
      <c r="N78" s="45"/>
      <c r="O78" s="23"/>
      <c r="P78" s="42"/>
      <c r="Q78" s="42"/>
      <c r="R78" s="46"/>
      <c r="S78" s="47"/>
      <c r="T78" s="32"/>
      <c r="U78" s="20"/>
      <c r="V78" s="20"/>
      <c r="W78" s="31"/>
      <c r="X78" s="42"/>
    </row>
    <row r="79">
      <c r="A79" s="48" t="s">
        <v>198</v>
      </c>
      <c r="B79" s="20" t="s">
        <v>69</v>
      </c>
      <c r="C79" s="20">
        <v>1.0</v>
      </c>
      <c r="D79" s="20"/>
      <c r="E79" s="20"/>
      <c r="F79" s="20" t="s">
        <v>199</v>
      </c>
      <c r="G79" s="41" t="s">
        <v>200</v>
      </c>
      <c r="H79" s="45"/>
      <c r="I79" s="1"/>
      <c r="J79" s="46"/>
      <c r="K79" s="20"/>
      <c r="L79" s="20"/>
      <c r="M79" s="20"/>
      <c r="N79" s="20"/>
      <c r="O79" s="23"/>
      <c r="P79" s="20"/>
      <c r="Q79" s="20"/>
      <c r="R79" s="48" t="s">
        <v>201</v>
      </c>
      <c r="S79" s="20" t="s">
        <v>69</v>
      </c>
      <c r="T79" s="20">
        <v>1.0</v>
      </c>
      <c r="U79" s="20"/>
      <c r="V79" s="20"/>
      <c r="W79" s="23">
        <v>46185.0</v>
      </c>
      <c r="X79" s="20">
        <v>12.0</v>
      </c>
      <c r="Y79" s="51" t="s">
        <v>202</v>
      </c>
    </row>
    <row r="80">
      <c r="A80" s="46" t="s">
        <v>203</v>
      </c>
      <c r="B80" s="20" t="s">
        <v>69</v>
      </c>
      <c r="C80" s="20">
        <v>2.0</v>
      </c>
      <c r="D80" s="45"/>
      <c r="E80" s="20"/>
      <c r="F80" s="20" t="s">
        <v>199</v>
      </c>
      <c r="G80" s="20"/>
      <c r="H80" s="45"/>
      <c r="I80" s="1"/>
      <c r="J80" s="46"/>
      <c r="K80" s="47"/>
      <c r="L80" s="32"/>
      <c r="M80" s="20"/>
      <c r="N80" s="20"/>
      <c r="O80" s="45"/>
      <c r="P80" s="20"/>
      <c r="Q80" s="20"/>
      <c r="R80" s="46" t="s">
        <v>204</v>
      </c>
      <c r="S80" s="20" t="s">
        <v>69</v>
      </c>
      <c r="T80" s="20">
        <v>2.0</v>
      </c>
      <c r="U80" s="45"/>
      <c r="V80" s="45"/>
      <c r="W80" s="23">
        <v>46185.0</v>
      </c>
      <c r="X80" s="20"/>
    </row>
    <row r="81">
      <c r="A81" s="46"/>
      <c r="B81" s="20" t="s">
        <v>69</v>
      </c>
      <c r="C81" s="20">
        <v>3.0</v>
      </c>
      <c r="D81" s="20"/>
      <c r="E81" s="20"/>
      <c r="F81" s="20" t="s">
        <v>199</v>
      </c>
      <c r="G81" s="42"/>
      <c r="H81" s="14"/>
      <c r="I81" s="1"/>
      <c r="J81" s="48"/>
      <c r="K81" s="20"/>
      <c r="L81" s="20"/>
      <c r="M81" s="47"/>
      <c r="N81" s="45"/>
      <c r="O81" s="23"/>
      <c r="P81" s="42"/>
      <c r="Q81" s="42"/>
      <c r="R81" s="46"/>
      <c r="S81" s="20" t="s">
        <v>69</v>
      </c>
      <c r="T81" s="20">
        <v>3.0</v>
      </c>
      <c r="U81" s="20"/>
      <c r="V81" s="20"/>
      <c r="W81" s="23">
        <v>46185.0</v>
      </c>
      <c r="X81" s="42"/>
    </row>
    <row r="82">
      <c r="A82" s="46"/>
      <c r="B82" s="20"/>
      <c r="C82" s="20"/>
      <c r="D82" s="20"/>
      <c r="E82" s="20"/>
      <c r="F82" s="23"/>
      <c r="G82" s="20"/>
      <c r="H82" s="18"/>
      <c r="I82" s="1"/>
      <c r="J82" s="46"/>
      <c r="K82" s="20"/>
      <c r="L82" s="20"/>
      <c r="M82" s="20"/>
      <c r="N82" s="20"/>
      <c r="O82" s="23"/>
      <c r="P82" s="20"/>
      <c r="Q82" s="20"/>
      <c r="S82" s="20"/>
      <c r="T82" s="46"/>
      <c r="U82" s="20"/>
      <c r="V82" s="20"/>
      <c r="W82" s="23"/>
      <c r="X82" s="20"/>
    </row>
    <row r="83">
      <c r="A83" s="16" t="s">
        <v>205</v>
      </c>
      <c r="B83" s="16" t="s">
        <v>206</v>
      </c>
      <c r="C83" s="17"/>
      <c r="D83" s="20"/>
      <c r="E83" s="20"/>
      <c r="F83" s="23"/>
      <c r="G83" s="20"/>
      <c r="H83" s="1"/>
      <c r="I83" s="1"/>
      <c r="J83" s="46"/>
      <c r="K83" s="20"/>
      <c r="L83" s="20"/>
      <c r="M83" s="20"/>
      <c r="N83" s="20"/>
      <c r="O83" s="23"/>
      <c r="P83" s="20"/>
      <c r="Q83" s="20"/>
      <c r="S83" s="20"/>
      <c r="T83" s="46"/>
      <c r="U83" s="20"/>
      <c r="V83" s="20"/>
      <c r="W83" s="23"/>
      <c r="X83" s="20"/>
    </row>
    <row r="84">
      <c r="A84" s="53" t="s">
        <v>207</v>
      </c>
      <c r="B84" s="2" t="s">
        <v>208</v>
      </c>
      <c r="D84" s="2" t="s">
        <v>209</v>
      </c>
    </row>
    <row r="85">
      <c r="A85" s="53" t="s">
        <v>210</v>
      </c>
      <c r="B85" s="2" t="s">
        <v>211</v>
      </c>
      <c r="D85" s="2" t="s">
        <v>212</v>
      </c>
    </row>
    <row r="86">
      <c r="A86" s="53" t="s">
        <v>213</v>
      </c>
      <c r="B86" s="2" t="s">
        <v>214</v>
      </c>
      <c r="D86" s="2" t="s">
        <v>215</v>
      </c>
      <c r="J86" s="22"/>
      <c r="K86" s="20"/>
      <c r="L86" s="20"/>
      <c r="M86" s="20"/>
      <c r="N86" s="20"/>
      <c r="O86" s="23"/>
    </row>
    <row r="87">
      <c r="J87" s="30"/>
      <c r="K87" s="20"/>
      <c r="L87" s="20"/>
      <c r="M87" s="20"/>
      <c r="N87" s="20"/>
      <c r="O87" s="23"/>
    </row>
    <row r="88">
      <c r="J88" s="39"/>
      <c r="K88" s="20"/>
      <c r="L88" s="20"/>
      <c r="M88" s="20"/>
      <c r="N88" s="20"/>
      <c r="O88" s="23"/>
    </row>
    <row r="89">
      <c r="A89" s="2" t="s">
        <v>216</v>
      </c>
      <c r="J89" s="37"/>
      <c r="K89" s="31"/>
      <c r="L89" s="32"/>
      <c r="M89" s="20"/>
      <c r="N89" s="32"/>
      <c r="O89" s="31"/>
    </row>
    <row r="90">
      <c r="A90" s="51" t="s">
        <v>217</v>
      </c>
      <c r="J90" s="22"/>
      <c r="K90" s="20"/>
      <c r="L90" s="20"/>
      <c r="M90" s="20"/>
      <c r="N90" s="20"/>
      <c r="O90" s="23"/>
    </row>
    <row r="91">
      <c r="J91" s="30"/>
      <c r="K91" s="20"/>
      <c r="L91" s="20"/>
      <c r="M91" s="20"/>
      <c r="N91" s="20"/>
      <c r="O91" s="23"/>
    </row>
    <row r="92">
      <c r="J92" s="37"/>
      <c r="K92" s="20"/>
      <c r="L92" s="20"/>
      <c r="M92" s="20"/>
      <c r="N92" s="20"/>
      <c r="O92" s="23"/>
    </row>
    <row r="1000">
      <c r="X1000" s="20"/>
    </row>
  </sheetData>
  <mergeCells count="28">
    <mergeCell ref="S4:T4"/>
    <mergeCell ref="R5:T5"/>
    <mergeCell ref="F1:N2"/>
    <mergeCell ref="R3:T3"/>
    <mergeCell ref="B4:G4"/>
    <mergeCell ref="K4:L4"/>
    <mergeCell ref="M4:N4"/>
    <mergeCell ref="P4:R4"/>
    <mergeCell ref="K5:L5"/>
    <mergeCell ref="K6:L6"/>
    <mergeCell ref="P6:R6"/>
    <mergeCell ref="S6:T6"/>
    <mergeCell ref="K7:L7"/>
    <mergeCell ref="A8:B8"/>
    <mergeCell ref="C8:D8"/>
    <mergeCell ref="K9:P9"/>
    <mergeCell ref="K13:L13"/>
    <mergeCell ref="K14:L14"/>
    <mergeCell ref="K15:L15"/>
    <mergeCell ref="Q14:R14"/>
    <mergeCell ref="Q15:R15"/>
    <mergeCell ref="K11:M11"/>
    <mergeCell ref="Q11:S11"/>
    <mergeCell ref="K12:L12"/>
    <mergeCell ref="M12:N12"/>
    <mergeCell ref="Q12:R12"/>
    <mergeCell ref="S12:T12"/>
    <mergeCell ref="Q13:R13"/>
  </mergeCells>
  <hyperlinks>
    <hyperlink r:id="rId1" ref="H25"/>
    <hyperlink r:id="rId2" ref="Q25"/>
    <hyperlink r:id="rId3" ref="Y25"/>
    <hyperlink r:id="rId4" ref="H29"/>
    <hyperlink r:id="rId5" ref="Q29"/>
    <hyperlink r:id="rId6" ref="Y30"/>
    <hyperlink r:id="rId7" ref="H33"/>
    <hyperlink r:id="rId8" ref="Q33"/>
    <hyperlink r:id="rId9" ref="Y34"/>
    <hyperlink r:id="rId10" ref="H37"/>
    <hyperlink r:id="rId11" ref="Q37"/>
    <hyperlink r:id="rId12" ref="H38"/>
    <hyperlink r:id="rId13" ref="Y38"/>
    <hyperlink r:id="rId14" ref="H41"/>
    <hyperlink r:id="rId15" ref="Q41"/>
    <hyperlink r:id="rId16" ref="Y43"/>
    <hyperlink r:id="rId17" ref="Y44"/>
    <hyperlink r:id="rId18" ref="H45"/>
    <hyperlink r:id="rId19" ref="Q45"/>
    <hyperlink r:id="rId20" ref="Y47"/>
    <hyperlink r:id="rId21" ref="Y48"/>
    <hyperlink r:id="rId22" ref="Q57"/>
    <hyperlink r:id="rId23" ref="Y57"/>
    <hyperlink r:id="rId24" ref="H59"/>
    <hyperlink r:id="rId25" ref="H62"/>
    <hyperlink r:id="rId26" ref="Q62"/>
    <hyperlink r:id="rId27" ref="Y63"/>
    <hyperlink r:id="rId28" ref="Y67"/>
    <hyperlink r:id="rId29" ref="Q69"/>
    <hyperlink r:id="rId30" ref="H71"/>
    <hyperlink r:id="rId31" ref="Q73"/>
    <hyperlink r:id="rId32" ref="P74"/>
    <hyperlink r:id="rId33" ref="H75"/>
    <hyperlink r:id="rId34" ref="Y75"/>
    <hyperlink r:id="rId35" ref="J77"/>
    <hyperlink r:id="rId36" ref="G79"/>
    <hyperlink r:id="rId37" ref="Y79"/>
    <hyperlink r:id="rId38" ref="A90"/>
  </hyperlinks>
  <drawing r:id="rId39"/>
</worksheet>
</file>